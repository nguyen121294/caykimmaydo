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 Test Tracking" sheetId="1" state="visible" r:id="rId1"/>
    <sheet xmlns:r="http://schemas.openxmlformats.org/officeDocument/2006/relationships" name="Meta Retargeting Guide" sheetId="2" state="visible" r:id="rId2"/>
    <sheet xmlns:r="http://schemas.openxmlformats.org/officeDocument/2006/relationships" name="Dashboard Tong Hop" sheetId="3" state="visible" r:id="rId3"/>
    <sheet xmlns:r="http://schemas.openxmlformats.org/officeDocument/2006/relationships" name="Data Inpu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%&quot;"/>
    <numFmt numFmtId="165" formatCode="0.00&quot;x&quot;"/>
    <numFmt numFmtId="166" formatCode="0.0&quot;%&quot;"/>
    <numFmt numFmtId="167" formatCode="0&quot;%&quot;"/>
    <numFmt numFmtId="168" formatCode="0.0"/>
    <numFmt numFmtId="169" formatCode="YYYY-MM-DD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7F7F7F"/>
      <sz val="9"/>
    </font>
    <font>
      <name val="Calibri"/>
      <color rgb="001E7145"/>
      <sz val="9"/>
    </font>
    <font>
      <name val="Calibri"/>
      <color rgb="009C5700"/>
      <sz val="9"/>
    </font>
    <font>
      <name val="Calibri"/>
      <color rgb="009C0006"/>
      <sz val="9"/>
    </font>
    <font>
      <name val="Calibri"/>
      <color rgb="001F3864"/>
      <sz val="9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b val="1"/>
      <color rgb="001E7145"/>
      <sz val="10"/>
    </font>
    <font>
      <name val="Calibri"/>
      <b val="1"/>
      <color rgb="009C0006"/>
      <sz val="10"/>
    </font>
    <font>
      <name val="Calibri"/>
      <b val="1"/>
      <color rgb="007030A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1F3864"/>
      <sz val="2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i val="1"/>
      <color rgb="007030A0"/>
      <sz val="9"/>
    </font>
    <font>
      <name val="Calibri"/>
      <b val="1"/>
      <color rgb="009C5700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595959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8E6E00"/>
      </patternFill>
    </fill>
    <fill>
      <patternFill patternType="solid">
        <fgColor rgb="009C0006"/>
      </patternFill>
    </fill>
    <fill>
      <patternFill patternType="solid">
        <fgColor rgb="00E2D5F8"/>
      </patternFill>
    </fill>
    <fill>
      <patternFill patternType="solid">
        <fgColor rgb="0000B0F0"/>
      </patternFill>
    </fill>
    <fill>
      <patternFill patternType="solid">
        <fgColor rgb="001E7145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6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3" fontId="20" fillId="11" borderId="1" applyAlignment="1" pivotButton="0" quotePrefix="0" xfId="0">
      <alignment horizontal="center" vertical="center"/>
    </xf>
    <xf numFmtId="3" fontId="20" fillId="12" borderId="1" applyAlignment="1" pivotButton="0" quotePrefix="0" xfId="0">
      <alignment horizontal="center" vertical="center"/>
    </xf>
    <xf numFmtId="165" fontId="20" fillId="17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 vertical="center"/>
    </xf>
    <xf numFmtId="3" fontId="20" fillId="9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3" fontId="5" fillId="12" borderId="1" applyAlignment="1" pivotButton="0" quotePrefix="0" xfId="0">
      <alignment horizontal="center" vertical="center"/>
    </xf>
    <xf numFmtId="166" fontId="5" fillId="12" borderId="1" applyAlignment="1" pivotButton="0" quotePrefix="0" xfId="0">
      <alignment horizontal="center" vertical="center"/>
    </xf>
    <xf numFmtId="166" fontId="6" fillId="12" borderId="1" applyAlignment="1" pivotButton="0" quotePrefix="0" xfId="0">
      <alignment horizontal="center" vertical="center"/>
    </xf>
    <xf numFmtId="167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167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166" fontId="5" fillId="17" borderId="1" applyAlignment="1" pivotButton="0" quotePrefix="0" xfId="0">
      <alignment horizontal="center" vertical="center"/>
    </xf>
    <xf numFmtId="166" fontId="6" fillId="17" borderId="1" applyAlignment="1" pivotButton="0" quotePrefix="0" xfId="0">
      <alignment horizontal="center" vertical="center"/>
    </xf>
    <xf numFmtId="167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5" fontId="6" fillId="1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/>
    </xf>
    <xf numFmtId="168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/>
    </xf>
    <xf numFmtId="168" fontId="6" fillId="9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19" borderId="0" applyAlignment="1" pivotButton="0" quotePrefix="0" xfId="0">
      <alignment horizontal="center" vertical="center"/>
    </xf>
    <xf numFmtId="0" fontId="23" fillId="19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9" fontId="0" fillId="11" borderId="1" applyAlignment="1" pivotButton="0" quotePrefix="0" xfId="0">
      <alignment horizontal="center" vertical="center"/>
    </xf>
    <xf numFmtId="169" fontId="0" fillId="9" borderId="1" applyAlignment="1" pivotButton="0" quotePrefix="0" xfId="0">
      <alignment horizontal="center" vertical="center"/>
    </xf>
    <xf numFmtId="0" fontId="0" fillId="7" borderId="1" pivotButton="0" quotePrefix="0" xfId="0"/>
    <xf numFmtId="0" fontId="24" fillId="20" borderId="0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24" fillId="13" borderId="0" applyAlignment="1" pivotButton="0" quotePrefix="0" xfId="0">
      <alignment horizontal="center" vertical="center"/>
    </xf>
    <xf numFmtId="0" fontId="25" fillId="17" borderId="1" applyAlignment="1" pivotButton="0" quotePrefix="0" xfId="0">
      <alignment horizontal="left" vertical="center" wrapText="1"/>
    </xf>
    <xf numFmtId="164" fontId="0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 wrapText="1"/>
    </xf>
    <xf numFmtId="169" fontId="0" fillId="11" borderId="1" applyAlignment="1" pivotButton="0" quotePrefix="0" xfId="0">
      <alignment horizontal="center" vertical="center" wrapText="1"/>
    </xf>
    <xf numFmtId="3" fontId="0" fillId="11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rgb="001E7145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3" customWidth="1" min="4" max="4"/>
    <col width="28" customWidth="1" min="5" max="5"/>
    <col width="28" customWidth="1" min="6" max="6"/>
    <col width="15" customWidth="1" min="7" max="7"/>
    <col width="15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6" customWidth="1" min="15" max="15"/>
    <col width="16" customWidth="1" min="16" max="16"/>
    <col width="11" customWidth="1" min="17" max="17"/>
    <col width="11" customWidth="1" min="18" max="18"/>
    <col width="14" customWidth="1" min="19" max="19"/>
    <col width="14" customWidth="1" min="20" max="20"/>
    <col width="13" customWidth="1" min="21" max="21"/>
    <col width="13" customWidth="1" min="22" max="22"/>
    <col width="11" customWidth="1" min="23" max="23"/>
    <col width="11" customWidth="1" min="24" max="24"/>
    <col width="10" customWidth="1" min="25" max="25"/>
    <col width="10" customWidth="1" min="26" max="26"/>
    <col width="20" customWidth="1" min="27" max="27"/>
    <col width="20" customWidth="1" min="28" max="28"/>
  </cols>
  <sheetData>
    <row r="1" ht="35" customHeight="1">
      <c r="A1" s="1" t="inlineStr">
        <is>
          <t>A/B TEST TRACKING DASHBOARD - MayDo Fashion</t>
        </is>
      </c>
    </row>
    <row r="2" ht="18" customHeight="1">
      <c r="A2" s="2" t="inlineStr">
        <is>
          <t>He thong theo doi A/B Test tu dong - Cap nhat Real-time khi nhap du lieu</t>
        </is>
      </c>
    </row>
    <row r="3" ht="22" customHeight="1">
      <c r="A3" s="3" t="inlineStr">
        <is>
          <t>INPUT DATA (Nhap du lieu vao cac o nay)</t>
        </is>
      </c>
      <c r="Q3" s="4" t="inlineStr">
        <is>
          <t>AUTO-CALCULATED METRICS (Khong chinh sua)</t>
        </is>
      </c>
    </row>
    <row r="4" ht="30" customHeight="1">
      <c r="A4" s="5" t="inlineStr">
        <is>
          <t>Test ID</t>
        </is>
      </c>
      <c r="B4" s="5" t="inlineStr">
        <is>
          <t>Test Name</t>
        </is>
      </c>
      <c r="C4" s="5" t="inlineStr">
        <is>
          <t>Date Started</t>
        </is>
      </c>
      <c r="D4" s="5" t="inlineStr">
        <is>
          <t>Date Ended</t>
        </is>
      </c>
      <c r="E4" s="5" t="inlineStr">
        <is>
          <t>Variant A (Video/Content)</t>
        </is>
      </c>
      <c r="F4" s="5" t="inlineStr">
        <is>
          <t>Variant B (Video/Content)</t>
        </is>
      </c>
      <c r="G4" s="5" t="inlineStr">
        <is>
          <t>Budget A (VND)</t>
        </is>
      </c>
      <c r="H4" s="5" t="inlineStr">
        <is>
          <t>Budget B (VND)</t>
        </is>
      </c>
      <c r="I4" s="5" t="inlineStr">
        <is>
          <t>Impressions A</t>
        </is>
      </c>
      <c r="J4" s="5" t="inlineStr">
        <is>
          <t>Impressions B</t>
        </is>
      </c>
      <c r="K4" s="5" t="inlineStr">
        <is>
          <t>Clicks A</t>
        </is>
      </c>
      <c r="L4" s="5" t="inlineStr">
        <is>
          <t>Clicks B</t>
        </is>
      </c>
      <c r="M4" s="5" t="inlineStr">
        <is>
          <t>Conversions A</t>
        </is>
      </c>
      <c r="N4" s="5" t="inlineStr">
        <is>
          <t>Conversions B</t>
        </is>
      </c>
      <c r="O4" s="5" t="inlineStr">
        <is>
          <t>Revenue A (VND)</t>
        </is>
      </c>
      <c r="P4" s="5" t="inlineStr">
        <is>
          <t>Revenue B (VND)</t>
        </is>
      </c>
      <c r="Q4" s="6" t="inlineStr">
        <is>
          <t>CTR A (%)</t>
        </is>
      </c>
      <c r="R4" s="6" t="inlineStr">
        <is>
          <t>CTR B (%)</t>
        </is>
      </c>
      <c r="S4" s="6" t="inlineStr">
        <is>
          <t>CPM A (VND)</t>
        </is>
      </c>
      <c r="T4" s="6" t="inlineStr">
        <is>
          <t>CPM B (VND)</t>
        </is>
      </c>
      <c r="U4" s="6" t="inlineStr">
        <is>
          <t>CPC A (VND)</t>
        </is>
      </c>
      <c r="V4" s="6" t="inlineStr">
        <is>
          <t>CPC B (VND)</t>
        </is>
      </c>
      <c r="W4" s="6" t="inlineStr">
        <is>
          <t>CVR A (%)</t>
        </is>
      </c>
      <c r="X4" s="6" t="inlineStr">
        <is>
          <t>CVR B (%)</t>
        </is>
      </c>
      <c r="Y4" s="6" t="inlineStr">
        <is>
          <t>ROAS A</t>
        </is>
      </c>
      <c r="Z4" s="6" t="inlineStr">
        <is>
          <t>ROAS B</t>
        </is>
      </c>
      <c r="AA4" s="6" t="inlineStr">
        <is>
          <t>Winner (Auto)</t>
        </is>
      </c>
      <c r="AB4" s="6" t="inlineStr">
        <is>
          <t>Confidence Level</t>
        </is>
      </c>
    </row>
    <row r="5" ht="30" customHeight="1">
      <c r="A5" s="7" t="inlineStr">
        <is>
          <t>AB001</t>
        </is>
      </c>
      <c r="B5" s="8" t="inlineStr">
        <is>
          <t>Before/After Video vs Static Image</t>
        </is>
      </c>
      <c r="C5" s="7" t="inlineStr">
        <is>
          <t>2026-04-01</t>
        </is>
      </c>
      <c r="D5" s="7" t="inlineStr">
        <is>
          <t>2026-04-07</t>
        </is>
      </c>
      <c r="E5" s="8" t="inlineStr">
        <is>
          <t>Video Before/After (60s) - Set vay trang</t>
        </is>
      </c>
      <c r="F5" s="8" t="inlineStr">
        <is>
          <t>Static Image - Lookbook Set vay trang</t>
        </is>
      </c>
      <c r="G5" s="9" t="n">
        <v>500000</v>
      </c>
      <c r="H5" s="9" t="n">
        <v>500000</v>
      </c>
      <c r="I5" s="9" t="n">
        <v>25000</v>
      </c>
      <c r="J5" s="9" t="n">
        <v>22000</v>
      </c>
      <c r="K5" s="9" t="n">
        <v>750</v>
      </c>
      <c r="L5" s="9" t="n">
        <v>440</v>
      </c>
      <c r="M5" s="9" t="n">
        <v>15</v>
      </c>
      <c r="N5" s="9" t="n">
        <v>8</v>
      </c>
      <c r="O5" s="9" t="n">
        <v>9750000</v>
      </c>
      <c r="P5" s="9" t="n">
        <v>5200000</v>
      </c>
      <c r="Q5" s="10">
        <f>IF(I5=0,"",K5/I5*100)</f>
        <v/>
      </c>
      <c r="R5" s="10">
        <f>IF(J5=0,"",L5/J5*100)</f>
        <v/>
      </c>
      <c r="S5" s="11">
        <f>IF(I5=0,"",G5/I5*1000)</f>
        <v/>
      </c>
      <c r="T5" s="11">
        <f>IF(J5=0,"",H5/J5*1000)</f>
        <v/>
      </c>
      <c r="U5" s="11">
        <f>IF(K5=0,"",G5/K5)</f>
        <v/>
      </c>
      <c r="V5" s="11">
        <f>IF(L5=0,"",H5/L5)</f>
        <v/>
      </c>
      <c r="W5" s="10">
        <f>IF(K5=0,"",M5/K5*100)</f>
        <v/>
      </c>
      <c r="X5" s="10">
        <f>IF(L5=0,"",N5/L5*100)</f>
        <v/>
      </c>
      <c r="Y5" s="12">
        <f>IF(G5=0,"",O5/G5)</f>
        <v/>
      </c>
      <c r="Z5" s="12">
        <f>IF(H5=0,"",P5/H5)</f>
        <v/>
      </c>
      <c r="AA5" s="13">
        <f>IF(OR(Y5="",Z5=""),"Pending",IF(Y5&gt;Z5,"VARIANT A WINS","VARIANT B WINS"))</f>
        <v/>
      </c>
      <c r="AB5" s="7">
        <f>IF(OR(Y5="",Z5=""),"N/A",IF(ABS(Y5-Z5)/MAX(Y5,Z5)&gt;0.3,"High (&gt;30%)",IF(ABS(Y5-Z5)/MAX(Y5,Z5)&gt;0.15,"Medium (15-30%)","Low (&lt;15%)")))</f>
        <v/>
      </c>
    </row>
    <row r="6" ht="30" customHeight="1">
      <c r="A6" s="14" t="inlineStr">
        <is>
          <t>AB002</t>
        </is>
      </c>
      <c r="B6" s="15" t="inlineStr">
        <is>
          <t>Customer Testimonial vs Process Video</t>
        </is>
      </c>
      <c r="C6" s="14" t="inlineStr">
        <is>
          <t>2026-04-08</t>
        </is>
      </c>
      <c r="D6" s="14" t="inlineStr">
        <is>
          <t>2026-04-14</t>
        </is>
      </c>
      <c r="E6" s="15" t="inlineStr">
        <is>
          <t>Video Feedback KH Nguyen Thi H.</t>
        </is>
      </c>
      <c r="F6" s="15" t="inlineStr">
        <is>
          <t>Video Quy trinh may do (45s)</t>
        </is>
      </c>
      <c r="G6" s="16" t="n">
        <v>600000</v>
      </c>
      <c r="H6" s="16" t="n">
        <v>600000</v>
      </c>
      <c r="I6" s="16" t="n">
        <v>31000</v>
      </c>
      <c r="J6" s="16" t="n">
        <v>28500</v>
      </c>
      <c r="K6" s="16" t="n">
        <v>930</v>
      </c>
      <c r="L6" s="16" t="n">
        <v>855</v>
      </c>
      <c r="M6" s="16" t="n">
        <v>22</v>
      </c>
      <c r="N6" s="16" t="n">
        <v>14</v>
      </c>
      <c r="O6" s="16" t="n">
        <v>15400000</v>
      </c>
      <c r="P6" s="16" t="n">
        <v>9800000</v>
      </c>
      <c r="Q6" s="10">
        <f>IF(I6=0,"",K6/I6*100)</f>
        <v/>
      </c>
      <c r="R6" s="10">
        <f>IF(J6=0,"",L6/J6*100)</f>
        <v/>
      </c>
      <c r="S6" s="11">
        <f>IF(I6=0,"",G6/I6*1000)</f>
        <v/>
      </c>
      <c r="T6" s="11">
        <f>IF(J6=0,"",H6/J6*1000)</f>
        <v/>
      </c>
      <c r="U6" s="11">
        <f>IF(K6=0,"",G6/K6)</f>
        <v/>
      </c>
      <c r="V6" s="11">
        <f>IF(L6=0,"",H6/L6)</f>
        <v/>
      </c>
      <c r="W6" s="10">
        <f>IF(K6=0,"",M6/K6*100)</f>
        <v/>
      </c>
      <c r="X6" s="10">
        <f>IF(L6=0,"",N6/L6*100)</f>
        <v/>
      </c>
      <c r="Y6" s="12">
        <f>IF(G6=0,"",O6/G6)</f>
        <v/>
      </c>
      <c r="Z6" s="12">
        <f>IF(H6=0,"",P6/H6)</f>
        <v/>
      </c>
      <c r="AA6" s="13">
        <f>IF(OR(Y6="",Z6=""),"Pending",IF(Y6&gt;Z6,"VARIANT A WINS","VARIANT B WINS"))</f>
        <v/>
      </c>
      <c r="AB6" s="7">
        <f>IF(OR(Y6="",Z6=""),"N/A",IF(ABS(Y6-Z6)/MAX(Y6,Z6)&gt;0.3,"High (&gt;30%)",IF(ABS(Y6-Z6)/MAX(Y6,Z6)&gt;0.15,"Medium (15-30%)","Low (&lt;15%)")))</f>
        <v/>
      </c>
    </row>
    <row r="7" ht="30" customHeight="1">
      <c r="A7" s="7" t="inlineStr">
        <is>
          <t>AB003</t>
        </is>
      </c>
      <c r="B7" s="8" t="inlineStr">
        <is>
          <t>TOF Hook A vs Hook B</t>
        </is>
      </c>
      <c r="C7" s="7" t="inlineStr">
        <is>
          <t>2026-04-15</t>
        </is>
      </c>
      <c r="D7" s="7" t="inlineStr">
        <is>
          <t>2026-04-21</t>
        </is>
      </c>
      <c r="E7" s="8" t="inlineStr">
        <is>
          <t>Hook: "Ban da bao gio mac ao khong vua?"</t>
        </is>
      </c>
      <c r="F7" s="8" t="inlineStr">
        <is>
          <t>Hook: "3 ly do do may tot hon san"</t>
        </is>
      </c>
      <c r="G7" s="9" t="n">
        <v>400000</v>
      </c>
      <c r="H7" s="9" t="n">
        <v>400000</v>
      </c>
      <c r="I7" s="9" t="n">
        <v>18500</v>
      </c>
      <c r="J7" s="9" t="n">
        <v>21000</v>
      </c>
      <c r="K7" s="9" t="n">
        <v>555</v>
      </c>
      <c r="L7" s="9" t="n">
        <v>735</v>
      </c>
      <c r="M7" s="9" t="n">
        <v>9</v>
      </c>
      <c r="N7" s="9" t="n">
        <v>18</v>
      </c>
      <c r="O7" s="9" t="n">
        <v>6300000</v>
      </c>
      <c r="P7" s="9" t="n">
        <v>12600000</v>
      </c>
      <c r="Q7" s="10">
        <f>IF(I7=0,"",K7/I7*100)</f>
        <v/>
      </c>
      <c r="R7" s="10">
        <f>IF(J7=0,"",L7/J7*100)</f>
        <v/>
      </c>
      <c r="S7" s="11">
        <f>IF(I7=0,"",G7/I7*1000)</f>
        <v/>
      </c>
      <c r="T7" s="11">
        <f>IF(J7=0,"",H7/J7*1000)</f>
        <v/>
      </c>
      <c r="U7" s="11">
        <f>IF(K7=0,"",G7/K7)</f>
        <v/>
      </c>
      <c r="V7" s="11">
        <f>IF(L7=0,"",H7/L7)</f>
        <v/>
      </c>
      <c r="W7" s="10">
        <f>IF(K7=0,"",M7/K7*100)</f>
        <v/>
      </c>
      <c r="X7" s="10">
        <f>IF(L7=0,"",N7/L7*100)</f>
        <v/>
      </c>
      <c r="Y7" s="12">
        <f>IF(G7=0,"",O7/G7)</f>
        <v/>
      </c>
      <c r="Z7" s="12">
        <f>IF(H7=0,"",P7/H7)</f>
        <v/>
      </c>
      <c r="AA7" s="13">
        <f>IF(OR(Y7="",Z7=""),"Pending",IF(Y7&gt;Z7,"VARIANT A WINS","VARIANT B WINS"))</f>
        <v/>
      </c>
      <c r="AB7" s="7">
        <f>IF(OR(Y7="",Z7=""),"N/A",IF(ABS(Y7-Z7)/MAX(Y7,Z7)&gt;0.3,"High (&gt;30%)",IF(ABS(Y7-Z7)/MAX(Y7,Z7)&gt;0.15,"Medium (15-30%)","Low (&lt;15%)")))</f>
        <v/>
      </c>
    </row>
    <row r="8" ht="30" customHeight="1">
      <c r="A8" s="14" t="inlineStr">
        <is>
          <t>AB004</t>
        </is>
      </c>
      <c r="B8" s="15" t="inlineStr">
        <is>
          <t>MOF Retarget - Video 75% vs Engaged</t>
        </is>
      </c>
      <c r="C8" s="14" t="inlineStr">
        <is>
          <t>2026-04-22</t>
        </is>
      </c>
      <c r="D8" s="14" t="inlineStr">
        <is>
          <t>2026-04-28</t>
        </is>
      </c>
      <c r="E8" s="15" t="inlineStr">
        <is>
          <t>Audience: Watched &gt;75% TOF video</t>
        </is>
      </c>
      <c r="F8" s="15" t="inlineStr">
        <is>
          <t>Audience: Engaged with FB profile 30d</t>
        </is>
      </c>
      <c r="G8" s="16" t="n">
        <v>300000</v>
      </c>
      <c r="H8" s="16" t="n">
        <v>300000</v>
      </c>
      <c r="I8" s="16" t="n">
        <v>8200</v>
      </c>
      <c r="J8" s="16" t="n">
        <v>11500</v>
      </c>
      <c r="K8" s="16" t="n">
        <v>410</v>
      </c>
      <c r="L8" s="16" t="n">
        <v>460</v>
      </c>
      <c r="M8" s="16" t="n">
        <v>12</v>
      </c>
      <c r="N8" s="16" t="n">
        <v>11</v>
      </c>
      <c r="O8" s="16" t="n">
        <v>8400000</v>
      </c>
      <c r="P8" s="16" t="n">
        <v>7700000</v>
      </c>
      <c r="Q8" s="10">
        <f>IF(I8=0,"",K8/I8*100)</f>
        <v/>
      </c>
      <c r="R8" s="10">
        <f>IF(J8=0,"",L8/J8*100)</f>
        <v/>
      </c>
      <c r="S8" s="11">
        <f>IF(I8=0,"",G8/I8*1000)</f>
        <v/>
      </c>
      <c r="T8" s="11">
        <f>IF(J8=0,"",H8/J8*1000)</f>
        <v/>
      </c>
      <c r="U8" s="11">
        <f>IF(K8=0,"",G8/K8)</f>
        <v/>
      </c>
      <c r="V8" s="11">
        <f>IF(L8=0,"",H8/L8)</f>
        <v/>
      </c>
      <c r="W8" s="10">
        <f>IF(K8=0,"",M8/K8*100)</f>
        <v/>
      </c>
      <c r="X8" s="10">
        <f>IF(L8=0,"",N8/L8*100)</f>
        <v/>
      </c>
      <c r="Y8" s="12">
        <f>IF(G8=0,"",O8/G8)</f>
        <v/>
      </c>
      <c r="Z8" s="12">
        <f>IF(H8=0,"",P8/H8)</f>
        <v/>
      </c>
      <c r="AA8" s="13">
        <f>IF(OR(Y8="",Z8=""),"Pending",IF(Y8&gt;Z8,"VARIANT A WINS","VARIANT B WINS"))</f>
        <v/>
      </c>
      <c r="AB8" s="7">
        <f>IF(OR(Y8="",Z8=""),"N/A",IF(ABS(Y8-Z8)/MAX(Y8,Z8)&gt;0.3,"High (&gt;30%)",IF(ABS(Y8-Z8)/MAX(Y8,Z8)&gt;0.15,"Medium (15-30%)","Low (&lt;15%)")))</f>
        <v/>
      </c>
    </row>
    <row r="9" ht="30" customHeight="1">
      <c r="A9" s="7" t="inlineStr">
        <is>
          <t>AB005</t>
        </is>
      </c>
      <c r="B9" s="8" t="inlineStr">
        <is>
          <t>BOF CTA - Nhan tin ngay vs Xem BST</t>
        </is>
      </c>
      <c r="C9" s="7" t="inlineStr">
        <is>
          <t>2026-05-01</t>
        </is>
      </c>
      <c r="D9" s="7" t="inlineStr">
        <is>
          <t>2026-05-03</t>
        </is>
      </c>
      <c r="E9" s="8" t="inlineStr">
        <is>
          <t>CTA: Nhan tin ngay + Offer 10%</t>
        </is>
      </c>
      <c r="F9" s="8" t="inlineStr">
        <is>
          <t>CTA: Xem bo suu tap (Catalog)</t>
        </is>
      </c>
      <c r="G9" s="9" t="n">
        <v>250000</v>
      </c>
      <c r="H9" s="9" t="n">
        <v>250000</v>
      </c>
      <c r="I9" s="9" t="n">
        <v>9500</v>
      </c>
      <c r="J9" s="9" t="n">
        <v>9200</v>
      </c>
      <c r="K9" s="9" t="n">
        <v>285</v>
      </c>
      <c r="L9" s="9" t="n">
        <v>184</v>
      </c>
      <c r="M9" s="9" t="n">
        <v>9</v>
      </c>
      <c r="N9" s="9" t="n">
        <v>5</v>
      </c>
      <c r="O9" s="9" t="n">
        <v>6750000</v>
      </c>
      <c r="P9" s="9" t="n">
        <v>3750000</v>
      </c>
      <c r="Q9" s="10">
        <f>IF(I9=0,"",K9/I9*100)</f>
        <v/>
      </c>
      <c r="R9" s="10">
        <f>IF(J9=0,"",L9/J9*100)</f>
        <v/>
      </c>
      <c r="S9" s="11">
        <f>IF(I9=0,"",G9/I9*1000)</f>
        <v/>
      </c>
      <c r="T9" s="11">
        <f>IF(J9=0,"",H9/J9*1000)</f>
        <v/>
      </c>
      <c r="U9" s="11">
        <f>IF(K9=0,"",G9/K9)</f>
        <v/>
      </c>
      <c r="V9" s="11">
        <f>IF(L9=0,"",H9/L9)</f>
        <v/>
      </c>
      <c r="W9" s="10">
        <f>IF(K9=0,"",M9/K9*100)</f>
        <v/>
      </c>
      <c r="X9" s="10">
        <f>IF(L9=0,"",N9/L9*100)</f>
        <v/>
      </c>
      <c r="Y9" s="12">
        <f>IF(G9=0,"",O9/G9)</f>
        <v/>
      </c>
      <c r="Z9" s="12">
        <f>IF(H9=0,"",P9/H9)</f>
        <v/>
      </c>
      <c r="AA9" s="13">
        <f>IF(OR(Y9="",Z9=""),"Pending",IF(Y9&gt;Z9,"VARIANT A WINS","VARIANT B WINS"))</f>
        <v/>
      </c>
      <c r="AB9" s="7">
        <f>IF(OR(Y9="",Z9=""),"N/A",IF(ABS(Y9-Z9)/MAX(Y9,Z9)&gt;0.3,"High (&gt;30%)",IF(ABS(Y9-Z9)/MAX(Y9,Z9)&gt;0.15,"Medium (15-30%)","Low (&lt;15%)")))</f>
        <v/>
      </c>
    </row>
    <row r="11" ht="30" customHeight="1">
      <c r="A11" s="17" t="inlineStr">
        <is>
          <t>HUONG DAN: Nhap du lieu vao cot A-P. Cot Q-AB tu dong tinh toan. Winner = ROAS cao hon. Confidence = % chenh lech ROAS.</t>
        </is>
      </c>
    </row>
    <row r="12">
      <c r="A12" s="18" t="inlineStr">
        <is>
          <t>LEGEND / CHU THICH</t>
        </is>
      </c>
      <c r="C12" s="19" t="inlineStr">
        <is>
          <t>High Confidence: ROAS diff &gt;30%</t>
        </is>
      </c>
      <c r="D12" s="20" t="inlineStr">
        <is>
          <t>Medium Confidence: ROAS diff 15-30%</t>
        </is>
      </c>
      <c r="E12" s="21" t="inlineStr">
        <is>
          <t>Low Confidence: ROAS diff &lt;15%</t>
        </is>
      </c>
      <c r="F12" s="22" t="inlineStr">
        <is>
          <t>Auto-calc columns (orange)</t>
        </is>
      </c>
    </row>
  </sheetData>
  <mergeCells count="6">
    <mergeCell ref="A2:AB2"/>
    <mergeCell ref="Q3:AB3"/>
    <mergeCell ref="A11:AB11"/>
    <mergeCell ref="A1:AB1"/>
    <mergeCell ref="A3:P3"/>
    <mergeCell ref="A12:B12"/>
  </mergeCells>
  <conditionalFormatting sqref="AA5:AA9">
    <cfRule type="cellIs" priority="1" operator="containsText" dxfId="0">
      <formula>"WINS"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35" customWidth="1" min="4" max="4"/>
    <col width="30" customWidth="1" min="5" max="5"/>
    <col width="28" customWidth="1" min="6" max="6"/>
  </cols>
  <sheetData>
    <row r="1" ht="35" customHeight="1">
      <c r="A1" s="23" t="inlineStr">
        <is>
          <t>META ADS RETARGETING SETUP GUIDE - MayDo Fashion Funnel</t>
        </is>
      </c>
    </row>
    <row r="2" ht="20" customHeight="1">
      <c r="A2" s="24" t="inlineStr">
        <is>
          <t>Huong dan tao audiences MOF &amp; BOF trong Meta Ads Manager - TOF -&gt; MOF -&gt; BOF Funnel</t>
        </is>
      </c>
    </row>
    <row r="3" ht="28" customHeight="1">
      <c r="A3" s="25" t="inlineStr">
        <is>
          <t>FUNNEL OVERVIEW: TOF -&gt; MOF -&gt; BOF</t>
        </is>
      </c>
    </row>
    <row r="4" ht="24" customHeight="1">
      <c r="B4" s="26" t="inlineStr">
        <is>
          <t>Stage</t>
        </is>
      </c>
      <c r="C4" s="26" t="inlineStr">
        <is>
          <t>Muc tieu</t>
        </is>
      </c>
      <c r="D4" s="26" t="inlineStr">
        <is>
          <t>Budget %</t>
        </is>
      </c>
      <c r="E4" s="26" t="inlineStr">
        <is>
          <t>Audience Target</t>
        </is>
      </c>
      <c r="F4" s="26" t="inlineStr">
        <is>
          <t>Content Type</t>
        </is>
      </c>
    </row>
    <row r="5" ht="35" customHeight="1">
      <c r="B5" s="27" t="inlineStr">
        <is>
          <t>TOF - Top of Funnel</t>
        </is>
      </c>
      <c r="C5" s="27" t="inlineStr">
        <is>
          <t>Awareness - Tiep can nguoi moi</t>
        </is>
      </c>
      <c r="D5" s="27" t="inlineStr">
        <is>
          <t>50% tong ngan sach</t>
        </is>
      </c>
      <c r="E5" s="27" t="inlineStr">
        <is>
          <t>Lookalike 1-3%, Interest targeting</t>
        </is>
      </c>
      <c r="F5" s="27" t="inlineStr">
        <is>
          <t>Before/After Video, Process Video</t>
        </is>
      </c>
    </row>
    <row r="6" ht="35" customHeight="1">
      <c r="B6" s="28" t="inlineStr">
        <is>
          <t>MOF - Mid of Funnel</t>
        </is>
      </c>
      <c r="C6" s="28" t="inlineStr">
        <is>
          <t>Consideration - Nuoi duong intent</t>
        </is>
      </c>
      <c r="D6" s="28" t="inlineStr">
        <is>
          <t>30% tong ngan sach</t>
        </is>
      </c>
      <c r="E6" s="28" t="inlineStr">
        <is>
          <t>Xem &gt;50% TOF video, Profile visits</t>
        </is>
      </c>
      <c r="F6" s="28" t="inlineStr">
        <is>
          <t>Testimonial, Detail Product, FAQ</t>
        </is>
      </c>
    </row>
    <row r="7" ht="35" customHeight="1">
      <c r="B7" s="29" t="inlineStr">
        <is>
          <t>BOF - Bottom of Funnel</t>
        </is>
      </c>
      <c r="C7" s="29" t="inlineStr">
        <is>
          <t>Conversion - Chuyen doi mua hang</t>
        </is>
      </c>
      <c r="D7" s="29" t="inlineStr">
        <is>
          <t>20% tong ngan sach</t>
        </is>
      </c>
      <c r="E7" s="29" t="inlineStr">
        <is>
          <t>Xem &gt;75% MOF, Website visit, DM</t>
        </is>
      </c>
      <c r="F7" s="29" t="inlineStr">
        <is>
          <t>Offer, CTA manh, Social Proof</t>
        </is>
      </c>
    </row>
    <row r="9" ht="28" customHeight="1">
      <c r="A9" s="30" t="inlineStr">
        <is>
          <t>MOF AUDIENCE SETUP - Mid of Funnel Retargeting</t>
        </is>
      </c>
    </row>
    <row r="10" ht="24" customHeight="1">
      <c r="A10" s="31" t="inlineStr">
        <is>
          <t xml:space="preserve">  BUOC 1: Tao Custom Audience cho MOF</t>
        </is>
      </c>
    </row>
    <row r="11" ht="24" customHeight="1">
      <c r="B11" s="32" t="inlineStr">
        <is>
          <t>Buoc</t>
        </is>
      </c>
      <c r="C11" s="32" t="inlineStr">
        <is>
          <t>Mo ta chi tiet</t>
        </is>
      </c>
      <c r="D11" s="32" t="inlineStr">
        <is>
          <t>Cai dat cu the</t>
        </is>
      </c>
      <c r="E11" s="32" t="inlineStr">
        <is>
          <t>Ghi chu</t>
        </is>
      </c>
      <c r="F11" s="32" t="inlineStr"/>
    </row>
    <row r="12" ht="50" customHeight="1">
      <c r="B12" s="28" t="inlineStr">
        <is>
          <t>Truy cap</t>
        </is>
      </c>
      <c r="C12" s="28" t="inlineStr">
        <is>
          <t>Meta Ads Manager -&gt; Audiences -&gt; Create Audience -&gt; Custom Audience -&gt; Video</t>
        </is>
      </c>
      <c r="D12" s="28" t="inlineStr"/>
      <c r="E12" s="28" t="inlineStr"/>
      <c r="F12" s="28" t="inlineStr"/>
    </row>
    <row r="13" ht="50" customHeight="1">
      <c r="B13" s="33" t="inlineStr">
        <is>
          <t>Dieu kien 1:
Video View 50-75%</t>
        </is>
      </c>
      <c r="C13" s="33" t="inlineStr">
        <is>
          <t>People who watched 50% to 75% of your video
- Chon tat ca video TOF (Before/After, Process)
- Lookback window: 30 ngay</t>
        </is>
      </c>
      <c r="D13" s="33" t="inlineStr">
        <is>
          <t>Vao: Ads Manager &gt; Audiences &gt; Create
&gt; Custom Audience &gt; Video
&gt; "People who watched at least 50% of your video"</t>
        </is>
      </c>
      <c r="E13" s="33" t="inlineStr">
        <is>
          <t>Bat buoc phai co video TOF chay truoc</t>
        </is>
      </c>
      <c r="F13" s="33" t="inlineStr"/>
    </row>
    <row r="14" ht="50" customHeight="1">
      <c r="B14" s="28" t="inlineStr">
        <is>
          <t>Dieu kien 2:
Profile Visits</t>
        </is>
      </c>
      <c r="C14" s="28" t="inlineStr">
        <is>
          <t>People who visited your business profile
- Facebook Page: All visits
- Instagram Profile: All visits
- Lookback: 60 ngay</t>
        </is>
      </c>
      <c r="D14" s="28" t="inlineStr">
        <is>
          <t>Custom Audience &gt; Instagram Account
&gt; People who visited your profile
&gt; Last 60 days</t>
        </is>
      </c>
      <c r="E14" s="28" t="inlineStr">
        <is>
          <t>Ket hop OR logic voi dieu kien 1</t>
        </is>
      </c>
      <c r="F14" s="28" t="inlineStr"/>
    </row>
    <row r="15" ht="50" customHeight="1">
      <c r="B15" s="33" t="inlineStr">
        <is>
          <t>Dieu kien 3:
Post Engagement</t>
        </is>
      </c>
      <c r="C15" s="33" t="inlineStr">
        <is>
          <t>People who engaged with any post or ad
- Bao gom: Like, Comment, Share, Save, Click link
- Lookback: 30 ngay</t>
        </is>
      </c>
      <c r="D15" s="33" t="inlineStr">
        <is>
          <t>Custom Audience &gt; Facebook Page
&gt; People who engaged with any post/ad
&gt; Last 30 days</t>
        </is>
      </c>
      <c r="E15" s="33" t="inlineStr">
        <is>
          <t>Engage = hanh dong tich cuc, quality cao</t>
        </is>
      </c>
      <c r="F15" s="33" t="inlineStr"/>
    </row>
    <row r="16" ht="50" customHeight="1">
      <c r="B16" s="28" t="inlineStr">
        <is>
          <t>Combine Logic</t>
        </is>
      </c>
      <c r="C16" s="28" t="inlineStr">
        <is>
          <t>Su dung ANY OF (OR logic) de ket hop 3 dieu kien
-&gt; Audience size muc tieu: 10,000 - 100,000 nguoi</t>
        </is>
      </c>
      <c r="D16" s="28" t="inlineStr">
        <is>
          <t>Kiem tra audience size truoc khi luu
Neu &lt; 5,000: Mo rong lookback window</t>
        </is>
      </c>
      <c r="E16" s="28" t="inlineStr">
        <is>
          <t>Audience qua nho = khong du data de optimize</t>
        </is>
      </c>
      <c r="F16" s="28" t="inlineStr"/>
    </row>
    <row r="17" ht="50" customHeight="1">
      <c r="B17" s="33" t="inlineStr">
        <is>
          <t>EXCLUSIONS
(Bat buoc)</t>
        </is>
      </c>
      <c r="C17" s="33" t="inlineStr">
        <is>
          <t>LOAI TRU cac doi tuong:
1. BOF Audience (khach gan mua)
2. Khach hang cu da mua (upload list SDD/email)
3. Negative engagement (hide ad, report)</t>
        </is>
      </c>
      <c r="D17" s="33" t="inlineStr">
        <is>
          <t>Them Exclusion trong Custom Audience
Upload danh sach CSV so dien thoai khach cu
Format: +84xxxxxxxxx</t>
        </is>
      </c>
      <c r="E17" s="33" t="inlineStr">
        <is>
          <t>Exclusion giup giam chi phi, tang relevance</t>
        </is>
      </c>
      <c r="F17" s="33" t="inlineStr"/>
    </row>
    <row r="18" ht="50" customHeight="1">
      <c r="B18" s="28" t="inlineStr">
        <is>
          <t>Warm-up Period</t>
        </is>
      </c>
      <c r="C18" s="28" t="inlineStr">
        <is>
          <t>Phase 1 (Ngay 1-3): Learning phase
- KHONG TAT ad, KHONG chinh sua
- Can toi thieu 50 conversions/tuan
Phase 2 (Ngay 4-7): Bat dau optimize</t>
        </is>
      </c>
      <c r="D18" s="28" t="inlineStr">
        <is>
          <t>Budget toi thieu de thoat Learning Phase:
CPA muc tieu x 50 events / 7 ngay
Vi du: CPA = 50K x 50 / 7 = ~357K/ngay</t>
        </is>
      </c>
      <c r="E18" s="28" t="inlineStr">
        <is>
          <t>Kien nhan voi learning phase!</t>
        </is>
      </c>
      <c r="F18" s="28" t="inlineStr"/>
    </row>
    <row r="19" ht="50" customHeight="1">
      <c r="B19" s="33" t="inlineStr">
        <is>
          <t>Refresh Rate</t>
        </is>
      </c>
      <c r="C19" s="33" t="inlineStr">
        <is>
          <t>Refresh audience moi 30 ngay:
- Cap nhat lookback period
- Them video TOF moi vao pool
- Review exclusion list</t>
        </is>
      </c>
      <c r="D19" s="33" t="inlineStr">
        <is>
          <t>Dat lich nhan viec reminder trong Google Calendar
(moi 30 ngay mot lan)</t>
        </is>
      </c>
      <c r="E19" s="33" t="inlineStr">
        <is>
          <t>Tranh audience fatigue sau 30 ngay</t>
        </is>
      </c>
      <c r="F19" s="33" t="inlineStr"/>
    </row>
    <row r="21" ht="24" customHeight="1">
      <c r="A21" s="31" t="inlineStr">
        <is>
          <t xml:space="preserve">  BUOC 2: Cai dat Ad Set cho MOF Campaign</t>
        </is>
      </c>
    </row>
    <row r="22" ht="24" customHeight="1">
      <c r="B22" s="32" t="inlineStr">
        <is>
          <t>Cai dat</t>
        </is>
      </c>
      <c r="C22" s="32" t="inlineStr">
        <is>
          <t>Huong dan chi tiet</t>
        </is>
      </c>
      <c r="D22" s="32" t="inlineStr">
        <is>
          <t>Best Practice</t>
        </is>
      </c>
      <c r="E22" s="32" t="inlineStr">
        <is>
          <t>KPI Muc tieu</t>
        </is>
      </c>
      <c r="F22" s="32" t="inlineStr"/>
    </row>
    <row r="23" ht="55" customHeight="1">
      <c r="B23" s="28" t="inlineStr">
        <is>
          <t>Campaign Objective</t>
        </is>
      </c>
      <c r="C23" s="28" t="inlineStr">
        <is>
          <t>Traffic hoac Engagement
(neu funnel chin: dung Conversions)</t>
        </is>
      </c>
      <c r="D23" s="28" t="inlineStr">
        <is>
          <t>Bat dau voi Traffic, switch sang Conversions khi co data</t>
        </is>
      </c>
      <c r="E23" s="28" t="inlineStr">
        <is>
          <t>CTR &gt; 2.5%, CPM &lt; 80K</t>
        </is>
      </c>
      <c r="F23" s="28" t="inlineStr"/>
    </row>
    <row r="24" ht="55" customHeight="1">
      <c r="B24" s="33" t="inlineStr">
        <is>
          <t>Audience Setting</t>
        </is>
      </c>
      <c r="C24" s="33" t="inlineStr">
        <is>
          <t>MOF Custom Audience da tao o Buoc 1
Bat Advantage Audience neu size &lt; 5,000</t>
        </is>
      </c>
      <c r="D24" s="33" t="inlineStr">
        <is>
          <t>KHONG dung Interest targeting cho MOF
(da co custom audience)</t>
        </is>
      </c>
      <c r="E24" s="33" t="inlineStr">
        <is>
          <t>Audience size: 10K-100K</t>
        </is>
      </c>
      <c r="F24" s="33" t="inlineStr"/>
    </row>
    <row r="25" ht="55" customHeight="1">
      <c r="B25" s="28" t="inlineStr">
        <is>
          <t>Placement</t>
        </is>
      </c>
      <c r="C25" s="28" t="inlineStr">
        <is>
          <t>Manual Placements:
- Facebook Feed
- Instagram Feed
- Reels
Tat Audience Network</t>
        </is>
      </c>
      <c r="D25" s="28" t="inlineStr">
        <is>
          <t>Audience Network thuong co CTR cao nhung quality kem</t>
        </is>
      </c>
      <c r="E25" s="28" t="inlineStr">
        <is>
          <t>Placement uu tien: Reels &gt; Feed</t>
        </is>
      </c>
      <c r="F25" s="28" t="inlineStr"/>
    </row>
    <row r="26" ht="55" customHeight="1">
      <c r="B26" s="33" t="inlineStr">
        <is>
          <t>Budget &amp; Bidding</t>
        </is>
      </c>
      <c r="C26" s="33" t="inlineStr">
        <is>
          <t>30% tong ngan sach ngay
Vi du: Budget 1M/ngay -&gt; MOF: 300K
Dung Lowest Cost bidding</t>
        </is>
      </c>
      <c r="D26" s="33" t="inlineStr">
        <is>
          <t>Budget toi thieu: 150K/ngay/ad set
Scale 20% moi 3-5 ngay neu tot</t>
        </is>
      </c>
      <c r="E26" s="33" t="inlineStr">
        <is>
          <t>ROAS &gt; 3x, CPM &lt; 80K</t>
        </is>
      </c>
      <c r="F26" s="33" t="inlineStr"/>
    </row>
    <row r="27" ht="55" customHeight="1">
      <c r="B27" s="28" t="inlineStr">
        <is>
          <t>Schedule &amp; Delivery</t>
        </is>
      </c>
      <c r="C27" s="28" t="inlineStr">
        <is>
          <t>Chay lien tuc 7 ngay
Khong gioi han gio chay
Khong dung Accelerated delivery</t>
        </is>
      </c>
      <c r="D27" s="28" t="inlineStr">
        <is>
          <t>Review ket qua sau 3 ngay dau tien
Khong can chinh sua trong learning phase</t>
        </is>
      </c>
      <c r="E27" s="28" t="inlineStr">
        <is>
          <t>Frequency: 3-5 lan/nguoi/tuan</t>
        </is>
      </c>
      <c r="F27" s="28" t="inlineStr"/>
    </row>
    <row r="28" ht="55" customHeight="1">
      <c r="B28" s="33" t="inlineStr">
        <is>
          <t>Ad Creative</t>
        </is>
      </c>
      <c r="C28" s="33" t="inlineStr">
        <is>
          <t>Su dung Testimonial videos, Detail Product
Co CTA ro rang: "Nhan tin de tu van"</t>
        </is>
      </c>
      <c r="D28" s="33" t="inlineStr">
        <is>
          <t>Video dai 30-60s, co phu de (caption)
Thumbnail dep, ro mat nguoi mac</t>
        </is>
      </c>
      <c r="E28" s="33" t="inlineStr">
        <is>
          <t>Video View Rate &gt; 50%</t>
        </is>
      </c>
      <c r="F28" s="33" t="inlineStr"/>
    </row>
    <row r="30" ht="28" customHeight="1">
      <c r="A30" s="34" t="inlineStr">
        <is>
          <t>BOF AUDIENCE SETUP - Bottom of Funnel Retargeting</t>
        </is>
      </c>
    </row>
    <row r="31" ht="24" customHeight="1">
      <c r="A31" s="35" t="inlineStr">
        <is>
          <t xml:space="preserve">  BUOC 1: Tao Custom Audience cho BOF</t>
        </is>
      </c>
    </row>
    <row r="32" ht="24" customHeight="1">
      <c r="B32" s="36" t="inlineStr">
        <is>
          <t>Buoc</t>
        </is>
      </c>
      <c r="C32" s="36" t="inlineStr">
        <is>
          <t>Mo ta chi tiet</t>
        </is>
      </c>
      <c r="D32" s="36" t="inlineStr">
        <is>
          <t>Cai dat cu the</t>
        </is>
      </c>
      <c r="E32" s="36" t="inlineStr">
        <is>
          <t>Ghi chu quan trong</t>
        </is>
      </c>
      <c r="F32" s="36" t="inlineStr"/>
    </row>
    <row r="33" ht="55" customHeight="1">
      <c r="B33" s="29" t="inlineStr">
        <is>
          <t>Dieu kien 1:
Video &gt;75% MOF (QUAN TRONG NHAT)</t>
        </is>
      </c>
      <c r="C33" s="29" t="inlineStr">
        <is>
          <t>People who watched 75% or more of MOF video
- Day la tin hieu manh nhat
- Lookback: 30 ngay</t>
        </is>
      </c>
      <c r="D33" s="29" t="inlineStr">
        <is>
          <t>Custom Audience &gt; Video
&gt; People who watched at least 75%
&gt; Chon tat ca MOF videos</t>
        </is>
      </c>
      <c r="E33" s="29" t="inlineStr">
        <is>
          <t>MUST HAVE - Khong co dieu kien nay BOF rat yeu</t>
        </is>
      </c>
      <c r="F33" s="29" t="inlineStr"/>
    </row>
    <row r="34" ht="55" customHeight="1">
      <c r="B34" s="33" t="inlineStr">
        <is>
          <t>Dieu kien 2:
Website Visits</t>
        </is>
      </c>
      <c r="C34" s="33" t="inlineStr">
        <is>
          <t>People who visited your website
- Can cai dat Meta Pixel tren website
- URL: Domain.com/collections hoac /products
- Lookback: 60 ngay</t>
        </is>
      </c>
      <c r="D34" s="33" t="inlineStr">
        <is>
          <t>Custom Audience &gt; Website
&gt; All website visitors
&gt; Or: specific product/collection pages
YEU CAU: Meta Pixel phai duoc cai dat!</t>
        </is>
      </c>
      <c r="E34" s="33" t="inlineStr">
        <is>
          <t>Pixel: Ads Manager &gt; Events Manager &gt; Add Pixel</t>
        </is>
      </c>
      <c r="F34" s="33" t="inlineStr"/>
    </row>
    <row r="35" ht="55" customHeight="1">
      <c r="B35" s="29" t="inlineStr">
        <is>
          <t>Dieu kien 3:
Profile 30+ seconds</t>
        </is>
      </c>
      <c r="C35" s="29" t="inlineStr">
        <is>
          <t>People who spent 30+ seconds on your profile
- Instagram Business Profile
- Lookback: 30 ngay
- Day la signal manh, cho thay interest cao</t>
        </is>
      </c>
      <c r="D35" s="29" t="inlineStr">
        <is>
          <t>Custom Audience &gt; Instagram Account
&gt; People who spent 30+ seconds on your profile
&gt; Last 30 days</t>
        </is>
      </c>
      <c r="E35" s="29" t="inlineStr">
        <is>
          <t>Chi kha dung cho Instagram Business</t>
        </is>
      </c>
      <c r="F35" s="29" t="inlineStr"/>
    </row>
    <row r="36" ht="55" customHeight="1">
      <c r="B36" s="33" t="inlineStr">
        <is>
          <t>Dieu kien 4:
Messaged Your Business (QUAN TRONG)</t>
        </is>
      </c>
      <c r="C36" s="33" t="inlineStr">
        <is>
          <t>People who sent a message to your page/profile
- Facebook Messenger
- Instagram Direct Message
- Lookback: 30-60 ngay</t>
        </is>
      </c>
      <c r="D36" s="33" t="inlineStr">
        <is>
          <t>Custom Audience &gt; Facebook Page
&gt; People who sent a message
&gt; Last 60 days
Va: Instagram &gt; People who sent a DM</t>
        </is>
      </c>
      <c r="E36" s="33" t="inlineStr">
        <is>
          <t>Nhom nay da co intent ro rang - uu tien cao!</t>
        </is>
      </c>
      <c r="F36" s="33" t="inlineStr"/>
    </row>
    <row r="37" ht="55" customHeight="1">
      <c r="B37" s="29" t="inlineStr">
        <is>
          <t>Combine Logic</t>
        </is>
      </c>
      <c r="C37" s="29" t="inlineStr">
        <is>
          <t>ANY OF (OR logic) cho 4 dieu kien tren
Audience size muc tieu: 2,000 - 20,000</t>
        </is>
      </c>
      <c r="D37" s="29" t="inlineStr">
        <is>
          <t>Kiem tra overlap giua cac audience
Neu overlap &gt; 30%: can xem xet loai bo 1 dieu kien</t>
        </is>
      </c>
      <c r="E37" s="29" t="inlineStr">
        <is>
          <t>Audience qua lon (&gt;50K) = giam hieu qua BOF</t>
        </is>
      </c>
      <c r="F37" s="29" t="inlineStr"/>
    </row>
    <row r="38" ht="55" customHeight="1">
      <c r="B38" s="33" t="inlineStr">
        <is>
          <t>EXCLUSIONS (Bat buoc)</t>
        </is>
      </c>
      <c r="C38" s="33" t="inlineStr">
        <is>
          <t>LOAI TRU TUYET DOI:
1. Khach da chot don (upload list)
2. Khach huy don
3. Audience nen MOF (de tranh chong cheo)
4. Negative users</t>
        </is>
      </c>
      <c r="D38" s="33" t="inlineStr">
        <is>
          <t>Upload CSV danh sach so dien thoai khach cu moi tuan
Format: +84xxxxxxxxx, 1 so/dong
Toi da: 15 trieu records/list</t>
        </is>
      </c>
      <c r="E38" s="33" t="inlineStr">
        <is>
          <t>Cac phep tinh quang cao se sai neu khong exclude!</t>
        </is>
      </c>
      <c r="F38" s="33" t="inlineStr"/>
    </row>
    <row r="39" ht="55" customHeight="1">
      <c r="B39" s="29" t="inlineStr">
        <is>
          <t>Lookalike Opportunity</t>
        </is>
      </c>
      <c r="C39" s="29" t="inlineStr">
        <is>
          <t>Sau khi co du lieu BOF:
-&gt; Tao Lookalike 1% tu BOF audience
-&gt; Su dung Lookalike nay cho TOF campaign
-&gt; Day la "anh em" cua khach hang tot nhat</t>
        </is>
      </c>
      <c r="D39" s="29" t="inlineStr">
        <is>
          <t>Audience &gt; Create Audience &gt; Lookalike
&gt; Source: BOF Custom Audience
&gt; Audience size: 1-2%</t>
        </is>
      </c>
      <c r="E39" s="29" t="inlineStr">
        <is>
          <t>Can it nhat 1,000 nguoi trong BOF audience</t>
        </is>
      </c>
      <c r="F39" s="29" t="inlineStr"/>
    </row>
    <row r="41" ht="24" customHeight="1">
      <c r="A41" s="35" t="inlineStr">
        <is>
          <t xml:space="preserve">  BUOC 2: Best Practices cho BOF Campaign</t>
        </is>
      </c>
    </row>
    <row r="42" ht="24" customHeight="1">
      <c r="B42" s="36" t="inlineStr">
        <is>
          <t>Best Practice</t>
        </is>
      </c>
      <c r="C42" s="36" t="inlineStr">
        <is>
          <t>Chi tiet thuc hien</t>
        </is>
      </c>
      <c r="D42" s="36" t="inlineStr">
        <is>
          <t>Vi du / Mau noi dung</t>
        </is>
      </c>
      <c r="E42" s="36" t="inlineStr">
        <is>
          <t>KPI muc tieu</t>
        </is>
      </c>
      <c r="F42" s="36" t="inlineStr"/>
    </row>
    <row r="43" ht="60" customHeight="1">
      <c r="B43" s="29" t="inlineStr">
        <is>
          <t>Creative Strategy</t>
        </is>
      </c>
      <c r="C43" s="29" t="inlineStr">
        <is>
          <t>Su dung Social Proof manh:
- Anh review 5 sao, comments thuc
- Video truoc-sau cua nhieu khach
- Trust badges: "500+ khach hang tin tuong"</t>
        </is>
      </c>
      <c r="D43" s="29" t="inlineStr">
        <is>
          <t>"Chi Lan - Sai Gon: May xong dep hon hinh!"
"Anh chup khong dung chat luong san pham"</t>
        </is>
      </c>
      <c r="E43" s="29" t="inlineStr">
        <is>
          <t>CVR &gt; 5%, CTR &gt; 3.5%</t>
        </is>
      </c>
      <c r="F43" s="29" t="inlineStr"/>
    </row>
    <row r="44" ht="60" customHeight="1">
      <c r="B44" s="33" t="inlineStr">
        <is>
          <t>Offer &amp; CTA</t>
        </is>
      </c>
      <c r="C44" s="33" t="inlineStr">
        <is>
          <t>Dua ra offer co thoi han:
- Giam 10-15% cho lan dat may dau
- "Chi con 3 suat tuan nay"
- Free shipping / Mien phi do</t>
        </is>
      </c>
      <c r="D44" s="33" t="inlineStr">
        <is>
          <t>"Nhan tin ngay - Giam 10% don may dau"
"Offer chi con gia tri den het tuan"</t>
        </is>
      </c>
      <c r="E44" s="33" t="inlineStr">
        <is>
          <t>Close Rate inbox &gt; 30%</t>
        </is>
      </c>
      <c r="F44" s="33" t="inlineStr"/>
    </row>
    <row r="45" ht="60" customHeight="1">
      <c r="B45" s="29" t="inlineStr">
        <is>
          <t>Budget &amp; Bidding</t>
        </is>
      </c>
      <c r="C45" s="29" t="inlineStr">
        <is>
          <t>20% tong ngan sach tong
Bidding: Cost Cap hoac Lowest Cost
Dieu chinh CPA target theo gia san pham</t>
        </is>
      </c>
      <c r="D45" s="29" t="inlineStr">
        <is>
          <t>AOV 700K -&gt; CPA muc tieu: max 100K
ROAS target: &gt; 7x</t>
        </is>
      </c>
      <c r="E45" s="29" t="inlineStr">
        <is>
          <t>ROAS &gt; 5x, CPA &lt; 100K</t>
        </is>
      </c>
      <c r="F45" s="29" t="inlineStr"/>
    </row>
    <row r="46" ht="60" customHeight="1">
      <c r="B46" s="33" t="inlineStr">
        <is>
          <t>Ad Schedule</t>
        </is>
      </c>
      <c r="C46" s="33" t="inlineStr">
        <is>
          <t>Uu tien chay vao gio vang:
- 20:00 - 22:00 (peak order time)
- 12:00 - 13:00 (lunch break)
Pause khi ROAS &lt; 2.0 lien tuc 3 ngay</t>
        </is>
      </c>
      <c r="D46" s="33" t="inlineStr">
        <is>
          <t>Dung Ad Scheduling trong Ad Set
Chon "Run ads on a schedule"
Bat gio cao diem tren</t>
        </is>
      </c>
      <c r="E46" s="33" t="inlineStr">
        <is>
          <t>Chi phi/ngay giam 20-30%</t>
        </is>
      </c>
      <c r="F46" s="33" t="inlineStr"/>
    </row>
    <row r="47" ht="60" customHeight="1">
      <c r="B47" s="29" t="inlineStr">
        <is>
          <t>Frequency Management</t>
        </is>
      </c>
      <c r="C47" s="29" t="inlineStr">
        <is>
          <t>Gioi han: Max 5 lan/nguoi/tuan
Neu Frequency &gt; 7:
- Thay doi creative NGAY LAP TUC
- Refresh audience
- Tang exclusions</t>
        </is>
      </c>
      <c r="D47" s="29" t="inlineStr">
        <is>
          <t>Kiem tra Frequency 2 lan/tuan
trong Ads Manager &gt; Columns &gt; Customise
&gt; Them cot Frequency</t>
        </is>
      </c>
      <c r="E47" s="29" t="inlineStr">
        <is>
          <t>Frequency: 3-5x/tuan</t>
        </is>
      </c>
      <c r="F47" s="29" t="inlineStr"/>
    </row>
    <row r="48" ht="60" customHeight="1">
      <c r="B48" s="33" t="inlineStr">
        <is>
          <t>Scaling Strategy</t>
        </is>
      </c>
      <c r="C48" s="33" t="inlineStr">
        <is>
          <t>Ngay 1-5: Learning phase (khong chinh sua)
Ngay 6-10: Neu CPA on dinh -&gt; scale 20%
CACH SCALE DUNG:
- Tang budget tren ad set hien tai
- KHONG nhan doi ad set moi</t>
        </is>
      </c>
      <c r="D48" s="33" t="inlineStr">
        <is>
          <t>Sai: Nhan ban ad set
Dung: Tang budget 20% moi 3 ngay
Vi du: 200K -&gt; 240K -&gt; 290K -&gt; 350K</t>
        </is>
      </c>
      <c r="E48" s="33" t="inlineStr">
        <is>
          <t>Scale on dinh, ROAS giu nguyen</t>
        </is>
      </c>
      <c r="F48" s="33" t="inlineStr"/>
    </row>
    <row r="50" ht="28" customHeight="1">
      <c r="A50" s="25" t="inlineStr">
        <is>
          <t>KPI BENCHMARKS CHO TUNG GIAI DOAN FUNNEL</t>
        </is>
      </c>
    </row>
    <row r="51" ht="24" customHeight="1">
      <c r="B51" s="26" t="inlineStr">
        <is>
          <t>Metric</t>
        </is>
      </c>
      <c r="C51" s="26" t="inlineStr">
        <is>
          <t>TOF Target</t>
        </is>
      </c>
      <c r="D51" s="26" t="inlineStr">
        <is>
          <t>MOF Target</t>
        </is>
      </c>
      <c r="E51" s="26" t="inlineStr">
        <is>
          <t>BOF Target</t>
        </is>
      </c>
      <c r="F51" s="26" t="inlineStr">
        <is>
          <t>Action neu khong dat</t>
        </is>
      </c>
    </row>
    <row r="52" ht="30" customHeight="1">
      <c r="B52" s="27" t="inlineStr">
        <is>
          <t>CPM (Cost/1000 imp)</t>
        </is>
      </c>
      <c r="C52" s="27" t="inlineStr">
        <is>
          <t>&lt; 50,000d</t>
        </is>
      </c>
      <c r="D52" s="27" t="inlineStr">
        <is>
          <t>&lt; 80,000d</t>
        </is>
      </c>
      <c r="E52" s="27" t="inlineStr">
        <is>
          <t>&lt; 120,000d</t>
        </is>
      </c>
      <c r="F52" s="27" t="inlineStr">
        <is>
          <t>Thay creative, thu hep audience</t>
        </is>
      </c>
    </row>
    <row r="53" ht="30" customHeight="1">
      <c r="B53" s="33" t="inlineStr">
        <is>
          <t>CTR (Click-through)</t>
        </is>
      </c>
      <c r="C53" s="33" t="inlineStr">
        <is>
          <t>&gt; 1.5%</t>
        </is>
      </c>
      <c r="D53" s="33" t="inlineStr">
        <is>
          <t>&gt; 2.5%</t>
        </is>
      </c>
      <c r="E53" s="33" t="inlineStr">
        <is>
          <t>&gt; 3.5%</t>
        </is>
      </c>
      <c r="F53" s="33" t="inlineStr">
        <is>
          <t>A/B test CTA, thumbnail moi</t>
        </is>
      </c>
    </row>
    <row r="54" ht="30" customHeight="1">
      <c r="B54" s="27" t="inlineStr">
        <is>
          <t>Video View Rate (25%)</t>
        </is>
      </c>
      <c r="C54" s="27" t="inlineStr">
        <is>
          <t>&gt; 40%</t>
        </is>
      </c>
      <c r="D54" s="27" t="inlineStr">
        <is>
          <t>&gt; 50%</t>
        </is>
      </c>
      <c r="E54" s="27" t="inlineStr">
        <is>
          <t>&gt; 60%</t>
        </is>
      </c>
      <c r="F54" s="27" t="inlineStr">
        <is>
          <t>Cai thien 3 giay hook dau tien</t>
        </is>
      </c>
    </row>
    <row r="55" ht="30" customHeight="1">
      <c r="B55" s="33" t="inlineStr">
        <is>
          <t>Video Completion (100%)</t>
        </is>
      </c>
      <c r="C55" s="33" t="inlineStr">
        <is>
          <t>&gt; 15%</t>
        </is>
      </c>
      <c r="D55" s="33" t="inlineStr">
        <is>
          <t>&gt; 25%</t>
        </is>
      </c>
      <c r="E55" s="33" t="inlineStr">
        <is>
          <t>&gt; 35%</t>
        </is>
      </c>
      <c r="F55" s="33" t="inlineStr">
        <is>
          <t>Rut ngan video, tang value ngay</t>
        </is>
      </c>
    </row>
    <row r="56" ht="30" customHeight="1">
      <c r="B56" s="27" t="inlineStr">
        <is>
          <t>ROAS</t>
        </is>
      </c>
      <c r="C56" s="27" t="inlineStr">
        <is>
          <t>&gt; 1.5x</t>
        </is>
      </c>
      <c r="D56" s="27" t="inlineStr">
        <is>
          <t>&gt; 3x</t>
        </is>
      </c>
      <c r="E56" s="27" t="inlineStr">
        <is>
          <t>&gt; 5x</t>
        </is>
      </c>
      <c r="F56" s="27" t="inlineStr">
        <is>
          <t>Optimize funnel, tang AOV, tang gia</t>
        </is>
      </c>
    </row>
    <row r="57" ht="30" customHeight="1">
      <c r="B57" s="33" t="inlineStr">
        <is>
          <t>Cost per Message/Lead</t>
        </is>
      </c>
      <c r="C57" s="33" t="inlineStr">
        <is>
          <t>&lt; 50,000d</t>
        </is>
      </c>
      <c r="D57" s="33" t="inlineStr">
        <is>
          <t>&lt; 30,000d</t>
        </is>
      </c>
      <c r="E57" s="33" t="inlineStr">
        <is>
          <t>&lt; 20,000d</t>
        </is>
      </c>
      <c r="F57" s="33" t="inlineStr">
        <is>
          <t>Retarget warm audience nhieu hon</t>
        </is>
      </c>
    </row>
    <row r="58" ht="30" customHeight="1">
      <c r="B58" s="27" t="inlineStr">
        <is>
          <t>Close Rate (Inbox-&gt;Order)</t>
        </is>
      </c>
      <c r="C58" s="27" t="inlineStr">
        <is>
          <t>5-10%</t>
        </is>
      </c>
      <c r="D58" s="27" t="inlineStr">
        <is>
          <t>15-25%</t>
        </is>
      </c>
      <c r="E58" s="27" t="inlineStr">
        <is>
          <t>30-50%</t>
        </is>
      </c>
      <c r="F58" s="27" t="inlineStr">
        <is>
          <t>Cai thien script chot don (Sheet Script)</t>
        </is>
      </c>
    </row>
    <row r="59" ht="30" customHeight="1">
      <c r="B59" s="33" t="inlineStr">
        <is>
          <t>Frequency (lan/nguoi/tuan)</t>
        </is>
      </c>
      <c r="C59" s="33" t="inlineStr">
        <is>
          <t>2-4x</t>
        </is>
      </c>
      <c r="D59" s="33" t="inlineStr">
        <is>
          <t>3-5x</t>
        </is>
      </c>
      <c r="E59" s="33" t="inlineStr">
        <is>
          <t>3-5x</t>
        </is>
      </c>
      <c r="F59" s="33" t="inlineStr">
        <is>
          <t>Tren 7x: Refresh creative ngay</t>
        </is>
      </c>
    </row>
    <row r="60" ht="30" customHeight="1">
      <c r="B60" s="27" t="inlineStr">
        <is>
          <t>Audience Size (minimum)</t>
        </is>
      </c>
      <c r="C60" s="27" t="inlineStr">
        <is>
          <t>&gt; 100,000</t>
        </is>
      </c>
      <c r="D60" s="27" t="inlineStr">
        <is>
          <t>&gt; 10,000</t>
        </is>
      </c>
      <c r="E60" s="27" t="inlineStr">
        <is>
          <t>&gt; 2,000</t>
        </is>
      </c>
      <c r="F60" s="27" t="inlineStr">
        <is>
          <t>Mo rong lookback window</t>
        </is>
      </c>
    </row>
  </sheetData>
  <mergeCells count="10">
    <mergeCell ref="A41:F41"/>
    <mergeCell ref="A2:F2"/>
    <mergeCell ref="A10:F10"/>
    <mergeCell ref="A30:F30"/>
    <mergeCell ref="A1:F1"/>
    <mergeCell ref="A9:F9"/>
    <mergeCell ref="A31:F31"/>
    <mergeCell ref="A50:F50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8" customHeight="1">
      <c r="A1" s="1" t="inlineStr">
        <is>
          <t>DASHBOARD TONG HOP - MayDo Fashion Analytics</t>
        </is>
      </c>
    </row>
    <row r="2" ht="20" customHeight="1">
      <c r="A2" s="2">
        <f>TEXT(TODAY(),"YYYY-MM-DD")&amp;" - Tu dong cap nhat tu sheet Data Input Template"</f>
        <v/>
      </c>
    </row>
    <row r="3" ht="28" customHeight="1">
      <c r="A3" s="25" t="inlineStr">
        <is>
          <t>OVERVIEW KPIs - TONG QUAN THANG NAY</t>
        </is>
      </c>
    </row>
    <row r="4" ht="22" customHeight="1">
      <c r="B4" s="37" t="inlineStr">
        <is>
          <t>TONG DON HANG</t>
        </is>
      </c>
      <c r="D4" s="37" t="inlineStr">
        <is>
          <t>TONG DOANH THU (d)</t>
        </is>
      </c>
      <c r="F4" s="38" t="inlineStr">
        <is>
          <t>TONG CHI PHI ADS (d)</t>
        </is>
      </c>
      <c r="H4" s="39" t="inlineStr">
        <is>
          <t>ROAS TONG</t>
        </is>
      </c>
      <c r="J4" s="40" t="inlineStr">
        <is>
          <t>TY LE CHUYEN DOI</t>
        </is>
      </c>
      <c r="L4" s="41" t="inlineStr">
        <is>
          <t>TOTAL MSG</t>
        </is>
      </c>
    </row>
    <row r="5" ht="45" customHeight="1">
      <c r="B5" s="42">
        <f>'Data Input Template'!F2</f>
        <v/>
      </c>
      <c r="D5" s="42">
        <f>'Data Input Template'!G2</f>
        <v/>
      </c>
      <c r="F5" s="43">
        <f>'Data Input Template'!H2</f>
        <v/>
      </c>
      <c r="H5" s="44">
        <f>IF('Data Input Template'!H2=0,"N/A",'Data Input Template'!G2/'Data Input Template'!H2)</f>
        <v/>
      </c>
      <c r="J5" s="45">
        <f>IF('Data Input Template'!B2=0,"N/A",'Data Input Template'!F2/'Data Input Template'!B2*100)</f>
        <v/>
      </c>
      <c r="L5" s="46">
        <f>'Data Input Template'!B2</f>
        <v/>
      </c>
    </row>
    <row r="6" ht="22" customHeight="1">
      <c r="B6" s="47">
        <f>IF(OR('Data Input Template'!F2=0,'Data Input Template'!F3=0),"-- No prev week data",IF('Data Input Template'!F2&gt;'Data Input Template'!F3,"UP "&amp;TEXT(('Data Input Template'!F2-'Data Input Template'!F3)/'Data Input Template'!F3*100,"0.0")&amp;"% vs W-1","DOWN "&amp;TEXT(ABS(('Data Input Template'!F2-'Data Input Template'!F3)/'Data Input Template'!F3*100),"0.0")&amp;"% vs W-1"))</f>
        <v/>
      </c>
      <c r="D6" s="47">
        <f>IF(OR('Data Input Template'!G2=0,'Data Input Template'!G3=0),"-- No prev week data",IF('Data Input Template'!G2&gt;'Data Input Template'!G3,"UP "&amp;TEXT(('Data Input Template'!G2-'Data Input Template'!G3)/'Data Input Template'!G3*100,"0.0")&amp;"% WoW","DOWN "&amp;TEXT(ABS(('Data Input Template'!G2-'Data Input Template'!G3)/'Data Input Template'!G3*100),"0.0")&amp;"% WoW"))</f>
        <v/>
      </c>
      <c r="F6" s="48">
        <f>IF(OR('Data Input Template'!H2=0,'Data Input Template'!H3=0),"-- No prev week data",IF('Data Input Template'!H2&lt;'Data Input Template'!H3,"GIAM "&amp;TEXT(ABS(('Data Input Template'!H2-'Data Input Template'!H3)/'Data Input Template'!H3*100),"0.0")&amp;"% (tot)","TANG "&amp;TEXT(('Data Input Template'!H2-'Data Input Template'!H3)/'Data Input Template'!H3*100,"0.0")&amp;"% (xem lai)"))</f>
        <v/>
      </c>
      <c r="H6" s="49" t="inlineStr">
        <is>
          <t>"Cap nhat moi tuan"</t>
        </is>
      </c>
      <c r="J6" s="50" t="inlineStr">
        <is>
          <t>"Cap nhat moi tuan"</t>
        </is>
      </c>
      <c r="L6" s="51" t="inlineStr">
        <is>
          <t>"Cap nhat moi tuan"</t>
        </is>
      </c>
    </row>
    <row r="8" ht="26" customHeight="1">
      <c r="A8" s="52" t="inlineStr">
        <is>
          <t>INBOX PERFORMANCE - PHAN TICH TY LE CHOT DON</t>
        </is>
      </c>
    </row>
    <row r="9" ht="28" customHeight="1">
      <c r="B9" s="5" t="inlineStr">
        <is>
          <t>Customer Type</t>
        </is>
      </c>
      <c r="C9" s="5" t="inlineStr">
        <is>
          <t>Msg Received</t>
        </is>
      </c>
      <c r="D9" s="5" t="inlineStr">
        <is>
          <t>Replied</t>
        </is>
      </c>
      <c r="E9" s="5" t="inlineStr">
        <is>
          <t>Quoted</t>
        </is>
      </c>
      <c r="F9" s="5" t="inlineStr">
        <is>
          <t>Ordered</t>
        </is>
      </c>
      <c r="G9" s="5" t="inlineStr">
        <is>
          <t>Response Rate</t>
        </is>
      </c>
      <c r="H9" s="5" t="inlineStr">
        <is>
          <t>Quote Rate</t>
        </is>
      </c>
      <c r="I9" s="5" t="inlineStr">
        <is>
          <t>Close Rate</t>
        </is>
      </c>
      <c r="J9" s="5" t="inlineStr">
        <is>
          <t>AOV (d)</t>
        </is>
      </c>
      <c r="K9" s="5" t="inlineStr">
        <is>
          <t>Revenue</t>
        </is>
      </c>
      <c r="L9" s="5" t="inlineStr">
        <is>
          <t>Target Close%</t>
        </is>
      </c>
      <c r="M9" s="5" t="inlineStr">
        <is>
          <t>Status</t>
        </is>
      </c>
    </row>
    <row r="10" ht="22" customHeight="1">
      <c r="B10" s="53" t="inlineStr">
        <is>
          <t>Hot (&gt;75% MOF)</t>
        </is>
      </c>
      <c r="C10" s="54" t="n">
        <v>0</v>
      </c>
      <c r="D10" s="54" t="n">
        <v>0</v>
      </c>
      <c r="E10" s="54" t="n">
        <v>0</v>
      </c>
      <c r="F10" s="54" t="n">
        <v>0</v>
      </c>
      <c r="G10" s="55">
        <f>IF(C10=0,"",D10/C10*100)</f>
        <v/>
      </c>
      <c r="H10" s="55">
        <f>IF(D10=0,"",E10/D10*100)</f>
        <v/>
      </c>
      <c r="I10" s="56">
        <f>IF(C10=0,"",F10/C10*100)</f>
        <v/>
      </c>
      <c r="J10" s="54" t="n">
        <v>0</v>
      </c>
      <c r="K10" s="54">
        <f>IF(OR(F10=0,J10=0),"",F10*J10)</f>
        <v/>
      </c>
      <c r="L10" s="57" t="n">
        <v>65</v>
      </c>
      <c r="M10" s="58">
        <f>IF(I10="","No data",IF(VALUE(SUBSTITUTE(I10,"%",""))&gt;=L10,"On Track","Below Target"))</f>
        <v/>
      </c>
    </row>
    <row r="11" ht="22" customHeight="1">
      <c r="B11" s="59" t="inlineStr">
        <is>
          <t>Warm (50-75%)</t>
        </is>
      </c>
      <c r="C11" s="60" t="n">
        <v>0</v>
      </c>
      <c r="D11" s="60" t="n">
        <v>0</v>
      </c>
      <c r="E11" s="60" t="n">
        <v>0</v>
      </c>
      <c r="F11" s="60" t="n">
        <v>0</v>
      </c>
      <c r="G11" s="61">
        <f>IF(C11=0,"",D11/C11*100)</f>
        <v/>
      </c>
      <c r="H11" s="61">
        <f>IF(D11=0,"",E11/D11*100)</f>
        <v/>
      </c>
      <c r="I11" s="62">
        <f>IF(C11=0,"",F11/C11*100)</f>
        <v/>
      </c>
      <c r="J11" s="60" t="n">
        <v>0</v>
      </c>
      <c r="K11" s="60">
        <f>IF(OR(F11=0,J11=0),"",F11*J11)</f>
        <v/>
      </c>
      <c r="L11" s="63" t="n">
        <v>45</v>
      </c>
      <c r="M11" s="64">
        <f>IF(I11="","No data",IF(VALUE(SUBSTITUTE(I11,"%",""))&gt;=L11,"On Track","Below Target"))</f>
        <v/>
      </c>
    </row>
    <row r="12" ht="22" customHeight="1">
      <c r="B12" s="65" t="inlineStr">
        <is>
          <t>Cold (&lt;50%)</t>
        </is>
      </c>
      <c r="C12" s="66" t="n">
        <v>0</v>
      </c>
      <c r="D12" s="66" t="n">
        <v>0</v>
      </c>
      <c r="E12" s="66" t="n">
        <v>0</v>
      </c>
      <c r="F12" s="66" t="n">
        <v>0</v>
      </c>
      <c r="G12" s="67">
        <f>IF(C12=0,"",D12/C12*100)</f>
        <v/>
      </c>
      <c r="H12" s="67">
        <f>IF(D12=0,"",E12/D12*100)</f>
        <v/>
      </c>
      <c r="I12" s="68">
        <f>IF(C12=0,"",F12/C12*100)</f>
        <v/>
      </c>
      <c r="J12" s="66" t="n">
        <v>0</v>
      </c>
      <c r="K12" s="66">
        <f>IF(OR(F12=0,J12=0),"",F12*J12)</f>
        <v/>
      </c>
      <c r="L12" s="69" t="n">
        <v>20</v>
      </c>
      <c r="M12" s="70">
        <f>IF(I12="","No data",IF(VALUE(SUBSTITUTE(I12,"%",""))&gt;=L12,"On Track","Below Target"))</f>
        <v/>
      </c>
    </row>
    <row r="13" ht="22" customHeight="1">
      <c r="B13" s="71" t="inlineStr">
        <is>
          <t>Bargain Hunters</t>
        </is>
      </c>
      <c r="C13" s="72" t="n">
        <v>0</v>
      </c>
      <c r="D13" s="72" t="n">
        <v>0</v>
      </c>
      <c r="E13" s="72" t="n">
        <v>0</v>
      </c>
      <c r="F13" s="72" t="n">
        <v>0</v>
      </c>
      <c r="G13" s="73">
        <f>IF(C13=0,"",D13/C13*100)</f>
        <v/>
      </c>
      <c r="H13" s="73">
        <f>IF(D13=0,"",E13/D13*100)</f>
        <v/>
      </c>
      <c r="I13" s="74">
        <f>IF(C13=0,"",F13/C13*100)</f>
        <v/>
      </c>
      <c r="J13" s="72" t="n">
        <v>0</v>
      </c>
      <c r="K13" s="72">
        <f>IF(OR(F13=0,J13=0),"",F13*J13)</f>
        <v/>
      </c>
      <c r="L13" s="75" t="n">
        <v>25</v>
      </c>
      <c r="M13" s="76">
        <f>IF(I13="","No data",IF(VALUE(SUBSTITUTE(I13,"%",""))&gt;=L13,"On Track","Below Target"))</f>
        <v/>
      </c>
    </row>
    <row r="16" ht="26" customHeight="1">
      <c r="A16" s="77" t="inlineStr">
        <is>
          <t>ADS PERFORMANCE - TOF / MOF / BOF BREAKDOWN</t>
        </is>
      </c>
    </row>
    <row r="17" ht="28" customHeight="1">
      <c r="B17" s="78" t="inlineStr">
        <is>
          <t>Funnel Stage</t>
        </is>
      </c>
      <c r="C17" s="78" t="inlineStr">
        <is>
          <t>Budget Plan</t>
        </is>
      </c>
      <c r="D17" s="78" t="inlineStr">
        <is>
          <t>Actual Spend</t>
        </is>
      </c>
      <c r="E17" s="78" t="inlineStr">
        <is>
          <t>Impressions</t>
        </is>
      </c>
      <c r="F17" s="78" t="inlineStr">
        <is>
          <t>Clicks</t>
        </is>
      </c>
      <c r="G17" s="78" t="inlineStr">
        <is>
          <t>Conversions</t>
        </is>
      </c>
      <c r="H17" s="78" t="inlineStr">
        <is>
          <t>CPM (d)</t>
        </is>
      </c>
      <c r="I17" s="78" t="inlineStr">
        <is>
          <t>CTR (%)</t>
        </is>
      </c>
      <c r="J17" s="78" t="inlineStr">
        <is>
          <t>CPC (d)</t>
        </is>
      </c>
      <c r="K17" s="78" t="inlineStr">
        <is>
          <t>Revenue (d)</t>
        </is>
      </c>
      <c r="L17" s="78" t="inlineStr">
        <is>
          <t>ROAS</t>
        </is>
      </c>
      <c r="M17" s="78" t="inlineStr">
        <is>
          <t>Budget vs Plan</t>
        </is>
      </c>
    </row>
    <row r="18" ht="22" customHeight="1">
      <c r="B18" s="65" t="inlineStr">
        <is>
          <t>TOF - Top of Funnel (50%)</t>
        </is>
      </c>
      <c r="C18" s="66" t="n">
        <v>0</v>
      </c>
      <c r="D18" s="66" t="n">
        <v>0</v>
      </c>
      <c r="E18" s="66" t="n">
        <v>0</v>
      </c>
      <c r="F18" s="66" t="n">
        <v>0</v>
      </c>
      <c r="G18" s="66" t="n">
        <v>0</v>
      </c>
      <c r="H18" s="66">
        <f>IF(OR(C18=0,D18=0),"",C18/D18*1000)</f>
        <v/>
      </c>
      <c r="I18" s="79">
        <f>IF(OR(E18=0,D18=0),"",E18/D18*100)</f>
        <v/>
      </c>
      <c r="J18" s="66">
        <f>IF(OR(E18=0,C18=0),"",C18/E18)</f>
        <v/>
      </c>
      <c r="K18" s="66" t="n">
        <v>0</v>
      </c>
      <c r="L18" s="80">
        <f>IF(OR(C18=0,K18=0),"",K18/C18)</f>
        <v/>
      </c>
      <c r="M18" s="67">
        <f>IF(OR(B18=0,C18=0),"",C18/B18*100)</f>
        <v/>
      </c>
    </row>
    <row r="19" ht="22" customHeight="1">
      <c r="B19" s="59" t="inlineStr">
        <is>
          <t>MOF - Mid of Funnel (30%)</t>
        </is>
      </c>
      <c r="C19" s="60" t="n">
        <v>0</v>
      </c>
      <c r="D19" s="60" t="n">
        <v>0</v>
      </c>
      <c r="E19" s="60" t="n">
        <v>0</v>
      </c>
      <c r="F19" s="60" t="n">
        <v>0</v>
      </c>
      <c r="G19" s="60" t="n">
        <v>0</v>
      </c>
      <c r="H19" s="60">
        <f>IF(OR(C19=0,D19=0),"",C19/D19*1000)</f>
        <v/>
      </c>
      <c r="I19" s="81">
        <f>IF(OR(E19=0,D19=0),"",E19/D19*100)</f>
        <v/>
      </c>
      <c r="J19" s="60">
        <f>IF(OR(E19=0,C19=0),"",C19/E19)</f>
        <v/>
      </c>
      <c r="K19" s="60" t="n">
        <v>0</v>
      </c>
      <c r="L19" s="82">
        <f>IF(OR(C19=0,K19=0),"",K19/C19)</f>
        <v/>
      </c>
      <c r="M19" s="61">
        <f>IF(OR(B19=0,C19=0),"",C19/B19*100)</f>
        <v/>
      </c>
    </row>
    <row r="20" ht="22" customHeight="1">
      <c r="B20" s="53" t="inlineStr">
        <is>
          <t>BOF - Bottom of Funnel (20%)</t>
        </is>
      </c>
      <c r="C20" s="54" t="n">
        <v>0</v>
      </c>
      <c r="D20" s="54" t="n">
        <v>0</v>
      </c>
      <c r="E20" s="54" t="n">
        <v>0</v>
      </c>
      <c r="F20" s="54" t="n">
        <v>0</v>
      </c>
      <c r="G20" s="54" t="n">
        <v>0</v>
      </c>
      <c r="H20" s="54">
        <f>IF(OR(C20=0,D20=0),"",C20/D20*1000)</f>
        <v/>
      </c>
      <c r="I20" s="83">
        <f>IF(OR(E20=0,D20=0),"",E20/D20*100)</f>
        <v/>
      </c>
      <c r="J20" s="54">
        <f>IF(OR(E20=0,C20=0),"",C20/E20)</f>
        <v/>
      </c>
      <c r="K20" s="54" t="n">
        <v>0</v>
      </c>
      <c r="L20" s="84">
        <f>IF(OR(C20=0,K20=0),"",K20/C20)</f>
        <v/>
      </c>
      <c r="M20" s="55">
        <f>IF(OR(B20=0,C20=0),"",C20/B20*100)</f>
        <v/>
      </c>
    </row>
    <row r="21" ht="22" customHeight="1">
      <c r="B21" s="85" t="inlineStr">
        <is>
          <t>TOTAL</t>
        </is>
      </c>
      <c r="C21" s="86">
        <f>SUM(C18:C20)</f>
        <v/>
      </c>
      <c r="D21" s="86">
        <f>SUM(D18:D20)</f>
        <v/>
      </c>
      <c r="E21" s="86">
        <f>SUM(E18:E20)</f>
        <v/>
      </c>
      <c r="F21" s="86">
        <f>SUM(F18:F20)</f>
        <v/>
      </c>
      <c r="G21" s="86">
        <f>SUM(G18:G20)</f>
        <v/>
      </c>
      <c r="H21" s="86">
        <f>IF(E21=0,"",D21/E21*1000)</f>
        <v/>
      </c>
      <c r="I21" s="87">
        <f>IF(OR(F21=0,E21=0),"",F21/E21*100)</f>
        <v/>
      </c>
      <c r="J21" s="86">
        <f>IF(OR(F21=0,D21=0),"",D21/F21)</f>
        <v/>
      </c>
      <c r="K21" s="86">
        <f>SUM(K18:K20)</f>
        <v/>
      </c>
      <c r="L21" s="88">
        <f>IF(OR(D21=0,K21=0),"",K21/D21)</f>
        <v/>
      </c>
      <c r="M21" s="85" t="inlineStr"/>
    </row>
    <row r="23" ht="26" customHeight="1">
      <c r="A23" s="89" t="inlineStr">
        <is>
          <t>TOP CONTENT PERFORMANCE - BAI DANG HIEU QUA NHAT</t>
        </is>
      </c>
    </row>
    <row r="24" ht="28" customHeight="1">
      <c r="B24" s="90" t="inlineStr">
        <is>
          <t>#</t>
        </is>
      </c>
      <c r="C24" s="90" t="inlineStr">
        <is>
          <t>Post/Video Name</t>
        </is>
      </c>
      <c r="D24" s="90" t="inlineStr">
        <is>
          <t>Content Type</t>
        </is>
      </c>
      <c r="E24" s="90" t="inlineStr">
        <is>
          <t>Platform</t>
        </is>
      </c>
      <c r="F24" s="90" t="inlineStr">
        <is>
          <t>Views</t>
        </is>
      </c>
      <c r="G24" s="90" t="inlineStr">
        <is>
          <t>Reach</t>
        </is>
      </c>
      <c r="H24" s="90" t="inlineStr">
        <is>
          <t>Saves</t>
        </is>
      </c>
      <c r="I24" s="90" t="inlineStr">
        <is>
          <t>Shares</t>
        </is>
      </c>
      <c r="J24" s="90" t="inlineStr">
        <is>
          <t>Comments</t>
        </is>
      </c>
      <c r="K24" s="90" t="inlineStr">
        <is>
          <t>Engagement Rate</t>
        </is>
      </c>
      <c r="L24" s="90" t="inlineStr">
        <is>
          <t>Save Rate</t>
        </is>
      </c>
      <c r="M24" s="90" t="inlineStr">
        <is>
          <t>Perf Score</t>
        </is>
      </c>
    </row>
    <row r="25" ht="22" customHeight="1">
      <c r="B25" s="8" t="n">
        <v>1</v>
      </c>
      <c r="C25" s="91" t="inlineStr">
        <is>
          <t>Before/After Vay trang KH Ha</t>
        </is>
      </c>
      <c r="D25" s="8" t="inlineStr">
        <is>
          <t>BEFORE-AFTER</t>
        </is>
      </c>
      <c r="E25" s="8" t="inlineStr">
        <is>
          <t>Reels</t>
        </is>
      </c>
      <c r="F25" s="92" t="n">
        <v>45200</v>
      </c>
      <c r="G25" s="92" t="n">
        <v>38000</v>
      </c>
      <c r="H25" s="92" t="n">
        <v>1240</v>
      </c>
      <c r="I25" s="92" t="n">
        <v>380</v>
      </c>
      <c r="J25" s="92" t="n">
        <v>95</v>
      </c>
      <c r="K25" s="93">
        <f>IF(G25=0,"",(H25+I25+J25)/G25*100)</f>
        <v/>
      </c>
      <c r="L25" s="93">
        <f>IF(F25=0,"",H25/F25*100)</f>
        <v/>
      </c>
      <c r="M25" s="94">
        <f>ROUND((F25*0.3+H25*0.4+I25*0.3)/1000,1)</f>
        <v/>
      </c>
    </row>
    <row r="26" ht="22" customHeight="1">
      <c r="B26" s="15" t="n">
        <v>2</v>
      </c>
      <c r="C26" s="95" t="inlineStr">
        <is>
          <t>Quy trinh do dac 60s</t>
        </is>
      </c>
      <c r="D26" s="15" t="inlineStr">
        <is>
          <t>PROCESS</t>
        </is>
      </c>
      <c r="E26" s="15" t="inlineStr">
        <is>
          <t>Reels</t>
        </is>
      </c>
      <c r="F26" s="96" t="n">
        <v>32100</v>
      </c>
      <c r="G26" s="96" t="n">
        <v>27500</v>
      </c>
      <c r="H26" s="96" t="n">
        <v>890</v>
      </c>
      <c r="I26" s="96" t="n">
        <v>220</v>
      </c>
      <c r="J26" s="96" t="n">
        <v>67</v>
      </c>
      <c r="K26" s="97">
        <f>IF(G26=0,"",(H26+I26+J26)/G26*100)</f>
        <v/>
      </c>
      <c r="L26" s="97">
        <f>IF(F26=0,"",H26/F26*100)</f>
        <v/>
      </c>
      <c r="M26" s="98">
        <f>ROUND((F26*0.3+H26*0.4+I26*0.3)/1000,1)</f>
        <v/>
      </c>
    </row>
    <row r="27" ht="22" customHeight="1">
      <c r="B27" s="8" t="n">
        <v>3</v>
      </c>
      <c r="C27" s="91" t="inlineStr">
        <is>
          <t>Pinterest to Localize Set Thu Dong</t>
        </is>
      </c>
      <c r="D27" s="8" t="inlineStr">
        <is>
          <t>PINTEREST-LOCAL</t>
        </is>
      </c>
      <c r="E27" s="8" t="inlineStr">
        <is>
          <t>Carousel</t>
        </is>
      </c>
      <c r="F27" s="92" t="n">
        <v>28700</v>
      </c>
      <c r="G27" s="92" t="n">
        <v>24000</v>
      </c>
      <c r="H27" s="92" t="n">
        <v>1560</v>
      </c>
      <c r="I27" s="92" t="n">
        <v>180</v>
      </c>
      <c r="J27" s="92" t="n">
        <v>43</v>
      </c>
      <c r="K27" s="93">
        <f>IF(G27=0,"",(H27+I27+J27)/G27*100)</f>
        <v/>
      </c>
      <c r="L27" s="93">
        <f>IF(F27=0,"",H27/F27*100)</f>
        <v/>
      </c>
      <c r="M27" s="94">
        <f>ROUND((F27*0.3+H27*0.4+I27*0.3)/1000,1)</f>
        <v/>
      </c>
    </row>
    <row r="28" ht="22" customHeight="1">
      <c r="B28" s="15" t="n">
        <v>4</v>
      </c>
      <c r="C28" s="95" t="inlineStr">
        <is>
          <t>Customer Review KH Nguyen H.</t>
        </is>
      </c>
      <c r="D28" s="15" t="inlineStr">
        <is>
          <t>TESTIMONIAL</t>
        </is>
      </c>
      <c r="E28" s="15" t="inlineStr">
        <is>
          <t>Video</t>
        </is>
      </c>
      <c r="F28" s="96" t="n">
        <v>21300</v>
      </c>
      <c r="G28" s="96" t="n">
        <v>19000</v>
      </c>
      <c r="H28" s="96" t="n">
        <v>670</v>
      </c>
      <c r="I28" s="96" t="n">
        <v>145</v>
      </c>
      <c r="J28" s="96" t="n">
        <v>112</v>
      </c>
      <c r="K28" s="97">
        <f>IF(G28=0,"",(H28+I28+J28)/G28*100)</f>
        <v/>
      </c>
      <c r="L28" s="97">
        <f>IF(F28=0,"",H28/F28*100)</f>
        <v/>
      </c>
      <c r="M28" s="98">
        <f>ROUND((F28*0.3+H28*0.4+I28*0.3)/1000,1)</f>
        <v/>
      </c>
    </row>
    <row r="29" ht="22" customHeight="1">
      <c r="B29" s="8" t="n">
        <v>5</v>
      </c>
      <c r="C29" s="91" t="inlineStr">
        <is>
          <t>Problem: Ao khong vua vai?</t>
        </is>
      </c>
      <c r="D29" s="8" t="inlineStr">
        <is>
          <t>PROBLEM-SOLUTION</t>
        </is>
      </c>
      <c r="E29" s="8" t="inlineStr">
        <is>
          <t>Reels</t>
        </is>
      </c>
      <c r="F29" s="92" t="n">
        <v>19800</v>
      </c>
      <c r="G29" s="92" t="n">
        <v>17200</v>
      </c>
      <c r="H29" s="92" t="n">
        <v>520</v>
      </c>
      <c r="I29" s="92" t="n">
        <v>130</v>
      </c>
      <c r="J29" s="92" t="n">
        <v>88</v>
      </c>
      <c r="K29" s="93">
        <f>IF(G29=0,"",(H29+I29+J29)/G29*100)</f>
        <v/>
      </c>
      <c r="L29" s="93">
        <f>IF(F29=0,"",H29/F29*100)</f>
        <v/>
      </c>
      <c r="M29" s="94">
        <f>ROUND((F29*0.3+H29*0.4+I29*0.3)/1000,1)</f>
        <v/>
      </c>
    </row>
    <row r="32" ht="26" customHeight="1">
      <c r="A32" s="99" t="inlineStr">
        <is>
          <t>AI AGENT RECOMMENDATIONS - DE XUAT TU DONG</t>
        </is>
      </c>
    </row>
    <row r="33" ht="22" customHeight="1">
      <c r="B33" s="26" t="inlineStr">
        <is>
          <t>Priority</t>
        </is>
      </c>
      <c r="C33" s="26" t="inlineStr">
        <is>
          <t>Category</t>
        </is>
      </c>
      <c r="D33" s="26" t="inlineStr">
        <is>
          <t>Recommendation</t>
        </is>
      </c>
      <c r="E33" s="26" t="inlineStr">
        <is>
          <t>Based on Metric</t>
        </is>
      </c>
      <c r="F33" s="26" t="inlineStr">
        <is>
          <t>Action Required</t>
        </is>
      </c>
      <c r="G33" s="26" t="inlineStr">
        <is>
          <t>Target Impact</t>
        </is>
      </c>
    </row>
    <row r="34" ht="40" customHeight="1">
      <c r="B34" s="100" t="inlineStr">
        <is>
          <t>HIGH</t>
        </is>
      </c>
      <c r="C34" s="100" t="inlineStr">
        <is>
          <t>Budget</t>
        </is>
      </c>
      <c r="D34" s="29" t="inlineStr">
        <is>
          <t>Tang ngan sach BOF khi ROAS BOF &gt; 5x - nhom nay gan mua nhat</t>
        </is>
      </c>
      <c r="E34" s="29" t="inlineStr">
        <is>
          <t>ROAS BOF &gt; 5x</t>
        </is>
      </c>
      <c r="F34" s="29" t="inlineStr">
        <is>
          <t>Chuyen 10% budget TOF -&gt; BOF</t>
        </is>
      </c>
      <c r="G34" s="100" t="inlineStr">
        <is>
          <t>+15-25% Revenue</t>
        </is>
      </c>
    </row>
    <row r="35" ht="40" customHeight="1">
      <c r="B35" s="100" t="inlineStr">
        <is>
          <t>HIGH</t>
        </is>
      </c>
      <c r="C35" s="100" t="inlineStr">
        <is>
          <t>Content</t>
        </is>
      </c>
      <c r="D35" s="29" t="inlineStr">
        <is>
          <t>San xuat them Before/After videos - Save Rate cao nhat trong tat ca loai content</t>
        </is>
      </c>
      <c r="E35" s="29" t="inlineStr">
        <is>
          <t>Save Rate &gt; 3%</t>
        </is>
      </c>
      <c r="F35" s="29" t="inlineStr">
        <is>
          <t>Len lich 2 video B/A moi tuan</t>
        </is>
      </c>
      <c r="G35" s="100" t="inlineStr">
        <is>
          <t>Giam CPM 20%</t>
        </is>
      </c>
    </row>
    <row r="36" ht="40" customHeight="1">
      <c r="B36" s="101" t="inlineStr">
        <is>
          <t>MEDIUM</t>
        </is>
      </c>
      <c r="C36" s="101" t="inlineStr">
        <is>
          <t>Inbox</t>
        </is>
      </c>
      <c r="D36" s="28" t="inlineStr">
        <is>
          <t>Cold leads can nurture sequence 5-7 ngay truoc khi push close</t>
        </is>
      </c>
      <c r="E36" s="28" t="inlineStr">
        <is>
          <t>Close Rate Cold &lt; 10%</t>
        </is>
      </c>
      <c r="F36" s="28" t="inlineStr">
        <is>
          <t>Setup automation sequence</t>
        </is>
      </c>
      <c r="G36" s="101" t="inlineStr">
        <is>
          <t>+10% Close Rate</t>
        </is>
      </c>
    </row>
    <row r="37" ht="40" customHeight="1">
      <c r="B37" s="101" t="inlineStr">
        <is>
          <t>MEDIUM</t>
        </is>
      </c>
      <c r="C37" s="101" t="inlineStr">
        <is>
          <t>A/B Test</t>
        </is>
      </c>
      <c r="D37" s="28" t="inlineStr">
        <is>
          <t>Luon chay it nhat 1 A/B test - khong bao gio de "status quo"</t>
        </is>
      </c>
      <c r="E37" s="28" t="inlineStr">
        <is>
          <t>AB Test Cadence</t>
        </is>
      </c>
      <c r="F37" s="28" t="inlineStr">
        <is>
          <t>Khoi dong test moi moi 7 ngay</t>
        </is>
      </c>
      <c r="G37" s="101" t="inlineStr">
        <is>
          <t>Toi uu lien tuc</t>
        </is>
      </c>
    </row>
    <row r="38" ht="40" customHeight="1">
      <c r="B38" s="102" t="inlineStr">
        <is>
          <t>LOW</t>
        </is>
      </c>
      <c r="C38" s="102" t="inlineStr">
        <is>
          <t>Audience</t>
        </is>
      </c>
      <c r="D38" s="103" t="inlineStr">
        <is>
          <t>Kiem tra frequency BOF audience - neu &gt; 5 thi refresh creative</t>
        </is>
      </c>
      <c r="E38" s="103" t="inlineStr">
        <is>
          <t>Ad Frequency &gt; 5</t>
        </is>
      </c>
      <c r="F38" s="103" t="inlineStr">
        <is>
          <t>Cap nhat creative set BOF</t>
        </is>
      </c>
      <c r="G38" s="102" t="inlineStr">
        <is>
          <t>Giam ad fatigue</t>
        </is>
      </c>
    </row>
    <row r="39" ht="40" customHeight="1">
      <c r="B39" s="102" t="inlineStr">
        <is>
          <t>LOW</t>
        </is>
      </c>
      <c r="C39" s="102" t="inlineStr">
        <is>
          <t>MOF Funnel</t>
        </is>
      </c>
      <c r="D39" s="103" t="inlineStr">
        <is>
          <t>Mo rong MOF audience bang cach them 90-day lookback</t>
        </is>
      </c>
      <c r="E39" s="103" t="inlineStr">
        <is>
          <t>MOF Audience Size</t>
        </is>
      </c>
      <c r="F39" s="103" t="inlineStr">
        <is>
          <t>Tao MOF audience 90 ngay</t>
        </is>
      </c>
      <c r="G39" s="102" t="inlineStr">
        <is>
          <t>+20% MOF reach</t>
        </is>
      </c>
    </row>
  </sheetData>
  <mergeCells count="22">
    <mergeCell ref="F4:G4"/>
    <mergeCell ref="A16:L16"/>
    <mergeCell ref="J5:K5"/>
    <mergeCell ref="F6:G6"/>
    <mergeCell ref="H4:I4"/>
    <mergeCell ref="A3:L3"/>
    <mergeCell ref="D6:E6"/>
    <mergeCell ref="A2:L2"/>
    <mergeCell ref="H6:I6"/>
    <mergeCell ref="J6:K6"/>
    <mergeCell ref="F5:G5"/>
    <mergeCell ref="A23:L23"/>
    <mergeCell ref="A32:L32"/>
    <mergeCell ref="A8:L8"/>
    <mergeCell ref="J4:K4"/>
    <mergeCell ref="D4:E4"/>
    <mergeCell ref="B6:C6"/>
    <mergeCell ref="B5:C5"/>
    <mergeCell ref="A1:L1"/>
    <mergeCell ref="D5:E5"/>
    <mergeCell ref="H5:I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5" customHeight="1">
      <c r="A1" s="104" t="inlineStr">
        <is>
          <t>DATA INPUT TEMPLATE - NHAP DU LIEU HANG TUAN</t>
        </is>
      </c>
    </row>
    <row r="2" ht="20" customHeight="1">
      <c r="A2" s="105" t="inlineStr">
        <is>
          <t>HUONG DAN: O mau xanh la = nhap du lieu. O mau xam = tu dong tinh. Dashboard Tong Hop se tu dong cap nhat.</t>
        </is>
      </c>
    </row>
    <row r="3" ht="24" customHeight="1">
      <c r="A3" s="106" t="inlineStr">
        <is>
          <t>SECTION A: TONG QUAN THEO TUAN (Nhap 1 lan/tuan)</t>
        </is>
      </c>
    </row>
    <row r="4" ht="28" customHeight="1">
      <c r="B4" s="5" t="inlineStr">
        <is>
          <t>Tuan / Period</t>
        </is>
      </c>
      <c r="C4" s="5" t="inlineStr">
        <is>
          <t>Total Messages</t>
        </is>
      </c>
      <c r="D4" s="5" t="inlineStr">
        <is>
          <t>Replied</t>
        </is>
      </c>
      <c r="E4" s="5" t="inlineStr">
        <is>
          <t>Quoted</t>
        </is>
      </c>
      <c r="F4" s="5" t="inlineStr">
        <is>
          <t>Ordered</t>
        </is>
      </c>
      <c r="G4" s="5" t="inlineStr">
        <is>
          <t>Total Orders</t>
        </is>
      </c>
      <c r="H4" s="5" t="inlineStr">
        <is>
          <t>Total Revenue (d)</t>
        </is>
      </c>
      <c r="I4" s="5" t="inlineStr">
        <is>
          <t>Total Ad Spend (d)</t>
        </is>
      </c>
      <c r="J4" s="5" t="inlineStr">
        <is>
          <t>Date Start</t>
        </is>
      </c>
      <c r="K4" s="5" t="inlineStr">
        <is>
          <t>Date End</t>
        </is>
      </c>
      <c r="L4" s="5" t="inlineStr">
        <is>
          <t>ROAS (Auto)</t>
        </is>
      </c>
      <c r="M4" s="5" t="inlineStr">
        <is>
          <t>Notes</t>
        </is>
      </c>
    </row>
    <row r="5" ht="22" customHeight="1">
      <c r="B5" s="107" t="inlineStr">
        <is>
          <t>Tuan 1</t>
        </is>
      </c>
      <c r="C5" s="108" t="n">
        <v>0</v>
      </c>
      <c r="D5" s="108" t="n">
        <v>0</v>
      </c>
      <c r="E5" s="108" t="n">
        <v>0</v>
      </c>
      <c r="F5" s="108" t="n">
        <v>0</v>
      </c>
      <c r="G5" s="108" t="n">
        <v>0</v>
      </c>
      <c r="H5" s="109" t="n">
        <v>0</v>
      </c>
      <c r="I5" s="109" t="n">
        <v>0</v>
      </c>
      <c r="J5" s="110" t="inlineStr"/>
      <c r="K5" s="111">
        <f>IF(OR(H5=0,I5=0),"",H5/I5)</f>
        <v/>
      </c>
      <c r="M5" s="112" t="inlineStr"/>
    </row>
    <row r="6" ht="22" customHeight="1">
      <c r="B6" s="107" t="inlineStr">
        <is>
          <t>Tuan 2</t>
        </is>
      </c>
      <c r="C6" s="108" t="n">
        <v>0</v>
      </c>
      <c r="D6" s="108" t="n">
        <v>0</v>
      </c>
      <c r="E6" s="108" t="n">
        <v>0</v>
      </c>
      <c r="F6" s="108" t="n">
        <v>0</v>
      </c>
      <c r="G6" s="108" t="n">
        <v>0</v>
      </c>
      <c r="H6" s="109" t="n">
        <v>0</v>
      </c>
      <c r="I6" s="109" t="n">
        <v>0</v>
      </c>
      <c r="J6" s="110" t="inlineStr"/>
      <c r="K6" s="111">
        <f>IF(OR(H6=0,I6=0),"",H6/I6)</f>
        <v/>
      </c>
      <c r="M6" s="112" t="inlineStr"/>
    </row>
    <row r="7" ht="22" customHeight="1">
      <c r="B7" s="107" t="inlineStr">
        <is>
          <t>Tuan 3</t>
        </is>
      </c>
      <c r="C7" s="108" t="n">
        <v>0</v>
      </c>
      <c r="D7" s="108" t="n">
        <v>0</v>
      </c>
      <c r="E7" s="108" t="n">
        <v>0</v>
      </c>
      <c r="F7" s="108" t="n">
        <v>0</v>
      </c>
      <c r="G7" s="108" t="n">
        <v>0</v>
      </c>
      <c r="H7" s="109" t="n">
        <v>0</v>
      </c>
      <c r="I7" s="109" t="n">
        <v>0</v>
      </c>
      <c r="J7" s="110" t="inlineStr"/>
      <c r="K7" s="111">
        <f>IF(OR(H7=0,I7=0),"",H7/I7)</f>
        <v/>
      </c>
      <c r="M7" s="112" t="inlineStr"/>
    </row>
    <row r="8" ht="22" customHeight="1">
      <c r="B8" s="107" t="inlineStr">
        <is>
          <t>Tuan 4</t>
        </is>
      </c>
      <c r="C8" s="108" t="n">
        <v>0</v>
      </c>
      <c r="D8" s="108" t="n">
        <v>0</v>
      </c>
      <c r="E8" s="108" t="n">
        <v>0</v>
      </c>
      <c r="F8" s="108" t="n">
        <v>0</v>
      </c>
      <c r="G8" s="108" t="n">
        <v>0</v>
      </c>
      <c r="H8" s="109" t="n">
        <v>0</v>
      </c>
      <c r="I8" s="109" t="n">
        <v>0</v>
      </c>
      <c r="J8" s="110" t="inlineStr"/>
      <c r="K8" s="111">
        <f>IF(OR(H8=0,I8=0),"",H8/I8)</f>
        <v/>
      </c>
      <c r="M8" s="112" t="inlineStr"/>
    </row>
    <row r="10" ht="24" customHeight="1">
      <c r="A10" s="113" t="inlineStr">
        <is>
          <t>SECTION B: INBOX BREAKDOWN BY CUSTOMER TYPE (Nhap theo tuan)</t>
        </is>
      </c>
    </row>
    <row r="11" ht="28" customHeight="1">
      <c r="B11" s="114" t="inlineStr">
        <is>
          <t>Customer Type</t>
        </is>
      </c>
      <c r="C11" s="114" t="inlineStr">
        <is>
          <t>Msg Received</t>
        </is>
      </c>
      <c r="D11" s="114" t="inlineStr">
        <is>
          <t>Replied</t>
        </is>
      </c>
      <c r="E11" s="114" t="inlineStr">
        <is>
          <t>Quoted</t>
        </is>
      </c>
      <c r="F11" s="114" t="inlineStr">
        <is>
          <t>Ordered</t>
        </is>
      </c>
      <c r="G11" s="114" t="inlineStr">
        <is>
          <t>Cancelled</t>
        </is>
      </c>
      <c r="H11" s="114" t="inlineStr">
        <is>
          <t>Close Rate (Auto)</t>
        </is>
      </c>
      <c r="I11" s="114" t="inlineStr">
        <is>
          <t>AOV (d)</t>
        </is>
      </c>
      <c r="J11" s="114" t="inlineStr">
        <is>
          <t>Revenue (Auto)</t>
        </is>
      </c>
      <c r="K11" s="114" t="inlineStr">
        <is>
          <t>Notes</t>
        </is>
      </c>
    </row>
    <row r="12" ht="22" customHeight="1">
      <c r="B12" s="53" t="inlineStr">
        <is>
          <t>Hot (&gt;75% MOF)</t>
        </is>
      </c>
      <c r="C12" s="109" t="n">
        <v>0</v>
      </c>
      <c r="D12" s="109" t="n">
        <v>0</v>
      </c>
      <c r="E12" s="109" t="n">
        <v>0</v>
      </c>
      <c r="F12" s="109" t="n">
        <v>0</v>
      </c>
      <c r="G12" s="109" t="n">
        <v>0</v>
      </c>
      <c r="H12" s="115">
        <f>IF(C12=0,"",F12/C12*100)</f>
        <v/>
      </c>
      <c r="I12" s="109" t="n">
        <v>0</v>
      </c>
      <c r="J12" s="116">
        <f>IF(OR(F12=0,I12=0),"",F12*I12)</f>
        <v/>
      </c>
      <c r="K12" s="112" t="inlineStr"/>
    </row>
    <row r="13" ht="22" customHeight="1">
      <c r="B13" s="59" t="inlineStr">
        <is>
          <t>Warm (50-75%)</t>
        </is>
      </c>
      <c r="C13" s="109" t="n">
        <v>0</v>
      </c>
      <c r="D13" s="109" t="n">
        <v>0</v>
      </c>
      <c r="E13" s="109" t="n">
        <v>0</v>
      </c>
      <c r="F13" s="109" t="n">
        <v>0</v>
      </c>
      <c r="G13" s="109" t="n">
        <v>0</v>
      </c>
      <c r="H13" s="115">
        <f>IF(C13=0,"",F13/C13*100)</f>
        <v/>
      </c>
      <c r="I13" s="109" t="n">
        <v>0</v>
      </c>
      <c r="J13" s="116">
        <f>IF(OR(F13=0,I13=0),"",F13*I13)</f>
        <v/>
      </c>
      <c r="K13" s="112" t="inlineStr"/>
    </row>
    <row r="14" ht="22" customHeight="1">
      <c r="B14" s="65" t="inlineStr">
        <is>
          <t>Cold (&lt;50%)</t>
        </is>
      </c>
      <c r="C14" s="109" t="n">
        <v>0</v>
      </c>
      <c r="D14" s="109" t="n">
        <v>0</v>
      </c>
      <c r="E14" s="109" t="n">
        <v>0</v>
      </c>
      <c r="F14" s="109" t="n">
        <v>0</v>
      </c>
      <c r="G14" s="109" t="n">
        <v>0</v>
      </c>
      <c r="H14" s="115">
        <f>IF(C14=0,"",F14/C14*100)</f>
        <v/>
      </c>
      <c r="I14" s="109" t="n">
        <v>0</v>
      </c>
      <c r="J14" s="116">
        <f>IF(OR(F14=0,I14=0),"",F14*I14)</f>
        <v/>
      </c>
      <c r="K14" s="112" t="inlineStr"/>
    </row>
    <row r="15" ht="22" customHeight="1">
      <c r="B15" s="71" t="inlineStr">
        <is>
          <t>Bargain Hunters</t>
        </is>
      </c>
      <c r="C15" s="109" t="n">
        <v>0</v>
      </c>
      <c r="D15" s="109" t="n">
        <v>0</v>
      </c>
      <c r="E15" s="109" t="n">
        <v>0</v>
      </c>
      <c r="F15" s="109" t="n">
        <v>0</v>
      </c>
      <c r="G15" s="109" t="n">
        <v>0</v>
      </c>
      <c r="H15" s="115">
        <f>IF(C15=0,"",F15/C15*100)</f>
        <v/>
      </c>
      <c r="I15" s="109" t="n">
        <v>0</v>
      </c>
      <c r="J15" s="116">
        <f>IF(OR(F15=0,I15=0),"",F15*I15)</f>
        <v/>
      </c>
      <c r="K15" s="112" t="inlineStr"/>
    </row>
    <row r="17" ht="24" customHeight="1">
      <c r="A17" s="117" t="inlineStr">
        <is>
          <t>SECTION C: ADS PERFORMANCE - TOF / MOF / BOF (Copy tu Meta Ads Manager)</t>
        </is>
      </c>
    </row>
    <row r="18" ht="28" customHeight="1">
      <c r="B18" s="118" t="inlineStr">
        <is>
          <t>HUONG DAN COPY TU META: Ads Manager -&gt; Campaigns -&gt; Performance &amp; Clicks -&gt; Copy bang so lieu -&gt; Paste vao cac o duoi day</t>
        </is>
      </c>
    </row>
    <row r="19" ht="32" customHeight="1">
      <c r="B19" s="78" t="inlineStr">
        <is>
          <t>Funnel Stage</t>
        </is>
      </c>
      <c r="C19" s="78" t="inlineStr">
        <is>
          <t>Budget Plan (d)</t>
        </is>
      </c>
      <c r="D19" s="78" t="inlineStr">
        <is>
          <t>Actual Spend (d)</t>
        </is>
      </c>
      <c r="E19" s="78" t="inlineStr">
        <is>
          <t>Impressions</t>
        </is>
      </c>
      <c r="F19" s="78" t="inlineStr">
        <is>
          <t>Clicks</t>
        </is>
      </c>
      <c r="G19" s="78" t="inlineStr">
        <is>
          <t>Conversions (Msg)</t>
        </is>
      </c>
      <c r="H19" s="78" t="inlineStr">
        <is>
          <t>CPM (Auto)</t>
        </is>
      </c>
      <c r="I19" s="78" t="inlineStr">
        <is>
          <t>CTR (Auto)</t>
        </is>
      </c>
      <c r="J19" s="78" t="inlineStr">
        <is>
          <t>CPC (Auto)</t>
        </is>
      </c>
      <c r="K19" s="78" t="inlineStr">
        <is>
          <t>Revenue (d)</t>
        </is>
      </c>
      <c r="L19" s="78" t="inlineStr">
        <is>
          <t>ROAS (Auto)</t>
        </is>
      </c>
      <c r="M19" s="78" t="inlineStr">
        <is>
          <t>Video View%</t>
        </is>
      </c>
    </row>
    <row r="20" ht="22" customHeight="1">
      <c r="B20" s="65" t="inlineStr">
        <is>
          <t>TOF - Top of Funnel</t>
        </is>
      </c>
      <c r="C20" s="109" t="n">
        <v>0</v>
      </c>
      <c r="D20" s="109" t="n">
        <v>0</v>
      </c>
      <c r="E20" s="108" t="n">
        <v>0</v>
      </c>
      <c r="F20" s="108" t="n">
        <v>0</v>
      </c>
      <c r="G20" s="108" t="n">
        <v>0</v>
      </c>
      <c r="H20" s="108" t="n">
        <v>0</v>
      </c>
      <c r="I20" s="116">
        <f>IF(OR(C20=0,D20=0),"",C20/D20*1000)</f>
        <v/>
      </c>
      <c r="J20" s="119">
        <f>IF(OR(E20=0,D20=0),"",E20/D20*100)</f>
        <v/>
      </c>
      <c r="K20" s="116">
        <f>IF(OR(E20=0,C20=0),"",C20/E20)</f>
        <v/>
      </c>
      <c r="L20" s="109" t="n">
        <v>0</v>
      </c>
      <c r="M20" s="120">
        <f>IF(OR(C20=0,L20=0),"",L20/C20)</f>
        <v/>
      </c>
      <c r="N20" s="121" t="n">
        <v>0</v>
      </c>
    </row>
    <row r="21" ht="22" customHeight="1">
      <c r="B21" s="59" t="inlineStr">
        <is>
          <t>MOF - Mid of Funnel</t>
        </is>
      </c>
      <c r="C21" s="109" t="n">
        <v>0</v>
      </c>
      <c r="D21" s="109" t="n">
        <v>0</v>
      </c>
      <c r="E21" s="108" t="n">
        <v>0</v>
      </c>
      <c r="F21" s="108" t="n">
        <v>0</v>
      </c>
      <c r="G21" s="108" t="n">
        <v>0</v>
      </c>
      <c r="H21" s="108" t="n">
        <v>0</v>
      </c>
      <c r="I21" s="116">
        <f>IF(OR(C21=0,D21=0),"",C21/D21*1000)</f>
        <v/>
      </c>
      <c r="J21" s="119">
        <f>IF(OR(E21=0,D21=0),"",E21/D21*100)</f>
        <v/>
      </c>
      <c r="K21" s="116">
        <f>IF(OR(E21=0,C21=0),"",C21/E21)</f>
        <v/>
      </c>
      <c r="L21" s="109" t="n">
        <v>0</v>
      </c>
      <c r="M21" s="120">
        <f>IF(OR(C21=0,L21=0),"",L21/C21)</f>
        <v/>
      </c>
      <c r="N21" s="121" t="n">
        <v>0</v>
      </c>
    </row>
    <row r="22" ht="22" customHeight="1">
      <c r="B22" s="53" t="inlineStr">
        <is>
          <t>BOF - Bottom of Funnel</t>
        </is>
      </c>
      <c r="C22" s="109" t="n">
        <v>0</v>
      </c>
      <c r="D22" s="109" t="n">
        <v>0</v>
      </c>
      <c r="E22" s="108" t="n">
        <v>0</v>
      </c>
      <c r="F22" s="108" t="n">
        <v>0</v>
      </c>
      <c r="G22" s="108" t="n">
        <v>0</v>
      </c>
      <c r="H22" s="108" t="n">
        <v>0</v>
      </c>
      <c r="I22" s="116">
        <f>IF(OR(C22=0,D22=0),"",C22/D22*1000)</f>
        <v/>
      </c>
      <c r="J22" s="119">
        <f>IF(OR(E22=0,D22=0),"",E22/D22*100)</f>
        <v/>
      </c>
      <c r="K22" s="116">
        <f>IF(OR(E22=0,C22=0),"",C22/E22)</f>
        <v/>
      </c>
      <c r="L22" s="109" t="n">
        <v>0</v>
      </c>
      <c r="M22" s="120">
        <f>IF(OR(C22=0,L22=0),"",L22/C22)</f>
        <v/>
      </c>
      <c r="N22" s="121" t="n">
        <v>0</v>
      </c>
    </row>
    <row r="24" ht="24" customHeight="1">
      <c r="A24" s="122" t="inlineStr">
        <is>
          <t>SECTION D: CONTENT TRACKING - NHAP KET QUA BAI DANG (Top 10)</t>
        </is>
      </c>
    </row>
    <row r="25" ht="28" customHeight="1">
      <c r="B25" s="90" t="inlineStr">
        <is>
          <t>#</t>
        </is>
      </c>
      <c r="C25" s="90" t="inlineStr">
        <is>
          <t>Post/Video Title</t>
        </is>
      </c>
      <c r="D25" s="90" t="inlineStr">
        <is>
          <t>Content Pillar</t>
        </is>
      </c>
      <c r="E25" s="90" t="inlineStr">
        <is>
          <t>Platform</t>
        </is>
      </c>
      <c r="F25" s="90" t="inlineStr">
        <is>
          <t>Post Date</t>
        </is>
      </c>
      <c r="G25" s="90" t="inlineStr">
        <is>
          <t>Views</t>
        </is>
      </c>
      <c r="H25" s="90" t="inlineStr">
        <is>
          <t>Reach</t>
        </is>
      </c>
      <c r="I25" s="90" t="inlineStr">
        <is>
          <t>Saves</t>
        </is>
      </c>
      <c r="J25" s="90" t="inlineStr">
        <is>
          <t>Shares</t>
        </is>
      </c>
      <c r="K25" s="90" t="inlineStr">
        <is>
          <t>Comments</t>
        </is>
      </c>
      <c r="L25" s="90" t="inlineStr">
        <is>
          <t>Likes</t>
        </is>
      </c>
      <c r="M25" s="90" t="inlineStr">
        <is>
          <t>Engagement Rate (Auto)</t>
        </is>
      </c>
    </row>
    <row r="26" ht="22" customHeight="1">
      <c r="B26" s="14" t="n">
        <v>1</v>
      </c>
      <c r="C26" s="123" t="inlineStr"/>
      <c r="D26" s="123" t="inlineStr"/>
      <c r="E26" s="123" t="inlineStr"/>
      <c r="F26" s="124" t="inlineStr"/>
      <c r="G26" s="125" t="inlineStr"/>
      <c r="H26" s="125" t="inlineStr"/>
      <c r="I26" s="125" t="inlineStr"/>
      <c r="J26" s="125" t="inlineStr"/>
      <c r="K26" s="125" t="inlineStr"/>
      <c r="L26" s="125" t="inlineStr"/>
      <c r="M26" s="123" t="inlineStr"/>
      <c r="N26" s="119">
        <f>IF(OR(G26=0,G26=""),"",(H26+I26+J26+K26)/G26*100)</f>
        <v/>
      </c>
    </row>
    <row r="27" ht="22" customHeight="1">
      <c r="B27" s="7" t="n">
        <v>2</v>
      </c>
      <c r="C27" s="123" t="inlineStr"/>
      <c r="D27" s="123" t="inlineStr"/>
      <c r="E27" s="123" t="inlineStr"/>
      <c r="F27" s="124" t="inlineStr"/>
      <c r="G27" s="125" t="inlineStr"/>
      <c r="H27" s="125" t="inlineStr"/>
      <c r="I27" s="125" t="inlineStr"/>
      <c r="J27" s="125" t="inlineStr"/>
      <c r="K27" s="125" t="inlineStr"/>
      <c r="L27" s="125" t="inlineStr"/>
      <c r="M27" s="123" t="inlineStr"/>
      <c r="N27" s="119">
        <f>IF(OR(G27=0,G27=""),"",(H27+I27+J27+K27)/G27*100)</f>
        <v/>
      </c>
    </row>
    <row r="28" ht="22" customHeight="1">
      <c r="B28" s="14" t="n">
        <v>3</v>
      </c>
      <c r="C28" s="123" t="inlineStr"/>
      <c r="D28" s="123" t="inlineStr"/>
      <c r="E28" s="123" t="inlineStr"/>
      <c r="F28" s="124" t="inlineStr"/>
      <c r="G28" s="125" t="inlineStr"/>
      <c r="H28" s="125" t="inlineStr"/>
      <c r="I28" s="125" t="inlineStr"/>
      <c r="J28" s="125" t="inlineStr"/>
      <c r="K28" s="125" t="inlineStr"/>
      <c r="L28" s="125" t="inlineStr"/>
      <c r="M28" s="123" t="inlineStr"/>
      <c r="N28" s="119">
        <f>IF(OR(G28=0,G28=""),"",(H28+I28+J28+K28)/G28*100)</f>
        <v/>
      </c>
    </row>
    <row r="29" ht="22" customHeight="1">
      <c r="B29" s="7" t="n">
        <v>4</v>
      </c>
      <c r="C29" s="123" t="inlineStr"/>
      <c r="D29" s="123" t="inlineStr"/>
      <c r="E29" s="123" t="inlineStr"/>
      <c r="F29" s="124" t="inlineStr"/>
      <c r="G29" s="125" t="inlineStr"/>
      <c r="H29" s="125" t="inlineStr"/>
      <c r="I29" s="125" t="inlineStr"/>
      <c r="J29" s="125" t="inlineStr"/>
      <c r="K29" s="125" t="inlineStr"/>
      <c r="L29" s="125" t="inlineStr"/>
      <c r="M29" s="123" t="inlineStr"/>
      <c r="N29" s="119">
        <f>IF(OR(G29=0,G29=""),"",(H29+I29+J29+K29)/G29*100)</f>
        <v/>
      </c>
    </row>
    <row r="30" ht="22" customHeight="1">
      <c r="B30" s="14" t="n">
        <v>5</v>
      </c>
      <c r="C30" s="123" t="inlineStr"/>
      <c r="D30" s="123" t="inlineStr"/>
      <c r="E30" s="123" t="inlineStr"/>
      <c r="F30" s="124" t="inlineStr"/>
      <c r="G30" s="125" t="inlineStr"/>
      <c r="H30" s="125" t="inlineStr"/>
      <c r="I30" s="125" t="inlineStr"/>
      <c r="J30" s="125" t="inlineStr"/>
      <c r="K30" s="125" t="inlineStr"/>
      <c r="L30" s="125" t="inlineStr"/>
      <c r="M30" s="123" t="inlineStr"/>
      <c r="N30" s="119">
        <f>IF(OR(G30=0,G30=""),"",(H30+I30+J30+K30)/G30*100)</f>
        <v/>
      </c>
    </row>
    <row r="31" ht="22" customHeight="1">
      <c r="B31" s="7" t="n">
        <v>6</v>
      </c>
      <c r="C31" s="123" t="inlineStr"/>
      <c r="D31" s="123" t="inlineStr"/>
      <c r="E31" s="123" t="inlineStr"/>
      <c r="F31" s="124" t="inlineStr"/>
      <c r="G31" s="125" t="inlineStr"/>
      <c r="H31" s="125" t="inlineStr"/>
      <c r="I31" s="125" t="inlineStr"/>
      <c r="J31" s="125" t="inlineStr"/>
      <c r="K31" s="125" t="inlineStr"/>
      <c r="L31" s="125" t="inlineStr"/>
      <c r="M31" s="123" t="inlineStr"/>
      <c r="N31" s="119">
        <f>IF(OR(G31=0,G31=""),"",(H31+I31+J31+K31)/G31*100)</f>
        <v/>
      </c>
    </row>
    <row r="32" ht="22" customHeight="1">
      <c r="B32" s="14" t="n">
        <v>7</v>
      </c>
      <c r="C32" s="123" t="inlineStr"/>
      <c r="D32" s="123" t="inlineStr"/>
      <c r="E32" s="123" t="inlineStr"/>
      <c r="F32" s="124" t="inlineStr"/>
      <c r="G32" s="125" t="inlineStr"/>
      <c r="H32" s="125" t="inlineStr"/>
      <c r="I32" s="125" t="inlineStr"/>
      <c r="J32" s="125" t="inlineStr"/>
      <c r="K32" s="125" t="inlineStr"/>
      <c r="L32" s="125" t="inlineStr"/>
      <c r="M32" s="123" t="inlineStr"/>
      <c r="N32" s="119">
        <f>IF(OR(G32=0,G32=""),"",(H32+I32+J32+K32)/G32*100)</f>
        <v/>
      </c>
    </row>
    <row r="33" ht="22" customHeight="1">
      <c r="B33" s="7" t="n">
        <v>8</v>
      </c>
      <c r="C33" s="123" t="inlineStr"/>
      <c r="D33" s="123" t="inlineStr"/>
      <c r="E33" s="123" t="inlineStr"/>
      <c r="F33" s="124" t="inlineStr"/>
      <c r="G33" s="125" t="inlineStr"/>
      <c r="H33" s="125" t="inlineStr"/>
      <c r="I33" s="125" t="inlineStr"/>
      <c r="J33" s="125" t="inlineStr"/>
      <c r="K33" s="125" t="inlineStr"/>
      <c r="L33" s="125" t="inlineStr"/>
      <c r="M33" s="123" t="inlineStr"/>
      <c r="N33" s="119">
        <f>IF(OR(G33=0,G33=""),"",(H33+I33+J33+K33)/G33*100)</f>
        <v/>
      </c>
    </row>
    <row r="34" ht="22" customHeight="1">
      <c r="B34" s="14" t="n">
        <v>9</v>
      </c>
      <c r="C34" s="123" t="inlineStr"/>
      <c r="D34" s="123" t="inlineStr"/>
      <c r="E34" s="123" t="inlineStr"/>
      <c r="F34" s="124" t="inlineStr"/>
      <c r="G34" s="125" t="inlineStr"/>
      <c r="H34" s="125" t="inlineStr"/>
      <c r="I34" s="125" t="inlineStr"/>
      <c r="J34" s="125" t="inlineStr"/>
      <c r="K34" s="125" t="inlineStr"/>
      <c r="L34" s="125" t="inlineStr"/>
      <c r="M34" s="123" t="inlineStr"/>
      <c r="N34" s="119">
        <f>IF(OR(G34=0,G34=""),"",(H34+I34+J34+K34)/G34*100)</f>
        <v/>
      </c>
    </row>
    <row r="35" ht="22" customHeight="1">
      <c r="B35" s="7" t="n">
        <v>10</v>
      </c>
      <c r="C35" s="123" t="inlineStr"/>
      <c r="D35" s="123" t="inlineStr"/>
      <c r="E35" s="123" t="inlineStr"/>
      <c r="F35" s="124" t="inlineStr"/>
      <c r="G35" s="125" t="inlineStr"/>
      <c r="H35" s="125" t="inlineStr"/>
      <c r="I35" s="125" t="inlineStr"/>
      <c r="J35" s="125" t="inlineStr"/>
      <c r="K35" s="125" t="inlineStr"/>
      <c r="L35" s="125" t="inlineStr"/>
      <c r="M35" s="123" t="inlineStr"/>
      <c r="N35" s="119">
        <f>IF(OR(G35=0,G35=""),"",(H35+I35+J35+K35)/G35*100)</f>
        <v/>
      </c>
    </row>
    <row r="37" ht="24" customHeight="1">
      <c r="A37" s="126" t="inlineStr">
        <is>
          <t>COLOR GUIDE - Huong dan mau sac</t>
        </is>
      </c>
    </row>
    <row r="38" ht="22" customHeight="1">
      <c r="B38" s="127" t="inlineStr">
        <is>
          <t>O XANH LA: O nhap lieu - Ban PHAI nhap du lieu vao day</t>
        </is>
      </c>
    </row>
    <row r="39" ht="22" customHeight="1">
      <c r="B39" s="128" t="inlineStr">
        <is>
          <t>O XAM: O tu dong tinh - KHONG chinh sua</t>
        </is>
      </c>
    </row>
    <row r="40" ht="22" customHeight="1">
      <c r="B40" s="129" t="inlineStr">
        <is>
          <t>O VANG: Chu thich / ghi chu quan trong</t>
        </is>
      </c>
    </row>
    <row r="41" ht="22" customHeight="1">
      <c r="B41" s="130" t="inlineStr">
        <is>
          <t>O DO: Canh bao hoac KPI quan trong</t>
        </is>
      </c>
    </row>
    <row r="42" ht="22" customHeight="1">
      <c r="B42" s="131" t="inlineStr">
        <is>
          <t>O XANH DUONG: Header va nhan phan loai</t>
        </is>
      </c>
    </row>
  </sheetData>
  <mergeCells count="13">
    <mergeCell ref="B38:M38"/>
    <mergeCell ref="A1:M1"/>
    <mergeCell ref="A37:M37"/>
    <mergeCell ref="B42:M42"/>
    <mergeCell ref="A17:M17"/>
    <mergeCell ref="B39:M39"/>
    <mergeCell ref="A3:M3"/>
    <mergeCell ref="B40:M40"/>
    <mergeCell ref="B18:M18"/>
    <mergeCell ref="B41:M41"/>
    <mergeCell ref="A24:M24"/>
    <mergeCell ref="A2:M2"/>
    <mergeCell ref="A10:M10"/>
  </mergeCells>
  <dataValidations count="2">
    <dataValidation sqref="D26 D27 D28 D29 D30 D31 D32 D33 D34 D35" showDropDown="0" showInputMessage="0" showErrorMessage="0" allowBlank="1" type="list">
      <formula1>"BEFORE-AFTER,PROCESS,PROBLEM-SOLUTION,PINTEREST-LOCAL,TESTIMONIAL,PROMOTION,EDU"</formula1>
    </dataValidation>
    <dataValidation sqref="E26 E27 E28 E29 E30 E31 E32 E33 E34 E35" showDropDown="0" showInputMessage="0" showErrorMessage="0" allowBlank="1" type="list">
      <formula1>"Facebook,Instagram,TikTok,Reels,Story,Carousel"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2026-05-04T07:48:46Z</dcterms:created>
  <dcterms:modified xmlns:dcterms="http://purl.org/dc/terms/" xmlns:xsi="http://www.w3.org/2001/XMLSchema-instance" xsi:type="dcterms:W3CDTF">2026-05-04T07:48:46Z</dcterms:modified>
</cp:coreProperties>
</file>